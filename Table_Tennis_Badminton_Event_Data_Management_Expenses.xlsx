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" sheetId="1" r:id="rId5"/>
    <sheet state="visible" name="Badminton" sheetId="2" r:id="rId6"/>
    <sheet state="visible" name="Consolidated Sheet" sheetId="3" r:id="rId7"/>
    <sheet state="visible" name="Registration Sheet" sheetId="4" r:id="rId8"/>
    <sheet state="visible" name="Expenses" sheetId="5" r:id="rId9"/>
  </sheets>
  <definedNames>
    <definedName hidden="1" localSheetId="3" name="_xlnm._FilterDatabase">'Registration Sheet'!$A$1:$P$45</definedName>
  </definedNames>
  <calcPr/>
</workbook>
</file>

<file path=xl/sharedStrings.xml><?xml version="1.0" encoding="utf-8"?>
<sst xmlns="http://schemas.openxmlformats.org/spreadsheetml/2006/main" count="482" uniqueCount="120">
  <si>
    <t>Under 18</t>
  </si>
  <si>
    <t>Above 18</t>
  </si>
  <si>
    <t>Sr. No</t>
  </si>
  <si>
    <t>Name</t>
  </si>
  <si>
    <t>Age</t>
  </si>
  <si>
    <t>Gender</t>
  </si>
  <si>
    <t>Blood Group</t>
  </si>
  <si>
    <t>Singles</t>
  </si>
  <si>
    <t>Doubles</t>
  </si>
  <si>
    <t>Mixed Doubles</t>
  </si>
  <si>
    <t>Paid</t>
  </si>
  <si>
    <t>Single</t>
  </si>
  <si>
    <t>P001</t>
  </si>
  <si>
    <t>Male</t>
  </si>
  <si>
    <t>Yes</t>
  </si>
  <si>
    <t>P020</t>
  </si>
  <si>
    <t>P002</t>
  </si>
  <si>
    <t>P022</t>
  </si>
  <si>
    <t>B+</t>
  </si>
  <si>
    <t>P003</t>
  </si>
  <si>
    <t>Female</t>
  </si>
  <si>
    <t>O+</t>
  </si>
  <si>
    <t>P023</t>
  </si>
  <si>
    <t>P004</t>
  </si>
  <si>
    <t>P024</t>
  </si>
  <si>
    <t>P005</t>
  </si>
  <si>
    <t>P025</t>
  </si>
  <si>
    <t>P006</t>
  </si>
  <si>
    <t>A+</t>
  </si>
  <si>
    <t>P026</t>
  </si>
  <si>
    <t>P007</t>
  </si>
  <si>
    <t>P027</t>
  </si>
  <si>
    <t>P008</t>
  </si>
  <si>
    <t>AB+</t>
  </si>
  <si>
    <t>P028</t>
  </si>
  <si>
    <t>P009</t>
  </si>
  <si>
    <t>P029</t>
  </si>
  <si>
    <t>P010</t>
  </si>
  <si>
    <t>P030</t>
  </si>
  <si>
    <t>P011</t>
  </si>
  <si>
    <t>P031</t>
  </si>
  <si>
    <t>P012</t>
  </si>
  <si>
    <t>P032</t>
  </si>
  <si>
    <t>P013</t>
  </si>
  <si>
    <t>P033</t>
  </si>
  <si>
    <t>P014</t>
  </si>
  <si>
    <t>P034</t>
  </si>
  <si>
    <t>P015</t>
  </si>
  <si>
    <t>P035</t>
  </si>
  <si>
    <t>P016</t>
  </si>
  <si>
    <t>P036</t>
  </si>
  <si>
    <t>P017</t>
  </si>
  <si>
    <t>P019</t>
  </si>
  <si>
    <t>P018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</si>
  <si>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</si>
  <si>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</si>
  <si>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</si>
  <si>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</si>
  <si>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</si>
  <si>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</si>
  <si>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</si>
  <si>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</si>
  <si>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</si>
  <si>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</si>
  <si>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</si>
  <si>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P054</t>
  </si>
  <si>
    <t>P055</t>
  </si>
  <si>
    <t>P050</t>
  </si>
  <si>
    <t>P056</t>
  </si>
  <si>
    <t xml:space="preserve">Male </t>
  </si>
  <si>
    <t>P049</t>
  </si>
  <si>
    <t>P048</t>
  </si>
  <si>
    <t>A-</t>
  </si>
  <si>
    <t>P057</t>
  </si>
  <si>
    <t>P051</t>
  </si>
  <si>
    <t>P058</t>
  </si>
  <si>
    <t xml:space="preserve">Female </t>
  </si>
  <si>
    <t>P052</t>
  </si>
  <si>
    <t>AB-</t>
  </si>
  <si>
    <t>P053</t>
  </si>
  <si>
    <t>Full Name</t>
  </si>
  <si>
    <t>Sr. no</t>
  </si>
  <si>
    <t>Center</t>
  </si>
  <si>
    <t>TT Singles</t>
  </si>
  <si>
    <t>TT Doubles</t>
  </si>
  <si>
    <t>TT Mixed Doubles</t>
  </si>
  <si>
    <t>Batty Singles</t>
  </si>
  <si>
    <t>Batty Doubles</t>
  </si>
  <si>
    <t>Batty Mixed Doubles</t>
  </si>
  <si>
    <t>Fees</t>
  </si>
  <si>
    <t>Paid (Yes/ No)</t>
  </si>
  <si>
    <t>Amount Paid</t>
  </si>
  <si>
    <t>Amount Pending</t>
  </si>
  <si>
    <t>Margao</t>
  </si>
  <si>
    <t>Vasco</t>
  </si>
  <si>
    <t xml:space="preserve">Yes </t>
  </si>
  <si>
    <t>Panjim</t>
  </si>
  <si>
    <t>Item</t>
  </si>
  <si>
    <t>Cost</t>
  </si>
  <si>
    <t>To Pay</t>
  </si>
  <si>
    <t>Lunch</t>
  </si>
  <si>
    <t>500 paid from fees, 5000 paid from ysb fund</t>
  </si>
  <si>
    <t>Sanwiches</t>
  </si>
  <si>
    <t>Paid from fees</t>
  </si>
  <si>
    <t>Court</t>
  </si>
  <si>
    <t>Certificates</t>
  </si>
  <si>
    <t>Medical</t>
  </si>
  <si>
    <t xml:space="preserve">Paid from fees </t>
  </si>
  <si>
    <t>TT Balls &amp; Shuttle Cock</t>
  </si>
  <si>
    <t>1750 paid from fees, 300 Ayush fees adjusted.</t>
  </si>
  <si>
    <t>Water</t>
  </si>
  <si>
    <t>Ice</t>
  </si>
  <si>
    <t>Amul Cool</t>
  </si>
  <si>
    <t>Paid by Chairman</t>
  </si>
  <si>
    <t>Paper plates &amp; Spoons</t>
  </si>
  <si>
    <t>Total Expense</t>
  </si>
  <si>
    <t>Fees Received</t>
  </si>
  <si>
    <t>Sponsor</t>
  </si>
  <si>
    <t>Total Fees remainging in hand</t>
  </si>
  <si>
    <t>2050 + 300 (pending)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</si>
</sst>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</font>
    <font>
      <color rgb="FF000000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Border="1" applyFont="1"/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4" numFmtId="0" xfId="0" applyFont="1"/>
    <xf borderId="4" fillId="0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vertical="bottom"/>
    </xf>
    <xf borderId="4" fillId="0" fontId="7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right" readingOrder="0" vertical="bottom"/>
    </xf>
    <xf borderId="4" fillId="0" fontId="7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4" fillId="0" fontId="7" numFmtId="164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readingOrder="0" vertical="bottom"/>
    </xf>
    <xf borderId="4" fillId="0" fontId="7" numFmtId="164" xfId="0" applyAlignment="1" applyBorder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9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3.0"/>
    <col customWidth="1" min="3" max="4" width="7.63"/>
    <col customWidth="1" min="5" max="5" width="11.13"/>
    <col customWidth="1" min="6" max="7" width="7.63"/>
    <col customWidth="1" min="8" max="8" width="12.75"/>
    <col customWidth="1" min="9" max="9" width="7.63"/>
    <col customWidth="1" min="10" max="10" width="2.0"/>
    <col customWidth="1" min="11" max="11" width="5.88"/>
    <col customWidth="1" min="12" max="12" width="14.13"/>
    <col customWidth="1" min="13" max="14" width="7.63"/>
    <col customWidth="1" min="15" max="15" width="11.13"/>
    <col customWidth="1" min="16" max="17" width="7.63"/>
    <col customWidth="1" min="19" max="19" width="7.63"/>
    <col customWidth="1" min="20" max="20" width="11.13"/>
  </cols>
  <sheetData>
    <row r="1">
      <c r="A1" s="1" t="s">
        <v>0</v>
      </c>
      <c r="I1" s="2"/>
      <c r="J1" s="3"/>
      <c r="K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5"/>
      <c r="K2" s="6" t="s">
        <v>2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11</v>
      </c>
      <c r="Q2" s="4" t="s">
        <v>8</v>
      </c>
      <c r="R2" s="4" t="s">
        <v>9</v>
      </c>
      <c r="S2" s="4" t="s">
        <v>10</v>
      </c>
      <c r="T2" s="4"/>
    </row>
    <row r="3">
      <c r="A3" s="7">
        <f t="shared" ref="A3:A8" si="1">ROW(A1)</f>
        <v>1</v>
      </c>
      <c r="B3" s="7" t="s">
        <v>12</v>
      </c>
      <c r="C3" s="7">
        <v>8.0</v>
      </c>
      <c r="D3" s="7" t="s">
        <v>13</v>
      </c>
      <c r="E3" s="7"/>
      <c r="F3" s="7" t="s">
        <v>14</v>
      </c>
      <c r="J3" s="8"/>
      <c r="K3" s="7">
        <f t="shared" ref="K3:K10" si="2">ROW(K1)</f>
        <v>1</v>
      </c>
      <c r="L3" s="7" t="s">
        <v>15</v>
      </c>
      <c r="M3" s="7">
        <v>25.0</v>
      </c>
      <c r="N3" s="7" t="s">
        <v>13</v>
      </c>
      <c r="O3" s="7"/>
      <c r="P3" s="7" t="s">
        <v>14</v>
      </c>
      <c r="Q3" s="7" t="s">
        <v>14</v>
      </c>
    </row>
    <row r="4">
      <c r="A4" s="7">
        <f t="shared" si="1"/>
        <v>2</v>
      </c>
      <c r="B4" s="7" t="s">
        <v>16</v>
      </c>
      <c r="C4" s="7">
        <v>10.0</v>
      </c>
      <c r="D4" s="7" t="s">
        <v>13</v>
      </c>
      <c r="E4" s="7"/>
      <c r="F4" s="7" t="s">
        <v>14</v>
      </c>
      <c r="J4" s="8"/>
      <c r="K4" s="7">
        <f t="shared" si="2"/>
        <v>2</v>
      </c>
      <c r="L4" s="7" t="s">
        <v>17</v>
      </c>
      <c r="M4" s="7">
        <v>41.0</v>
      </c>
      <c r="N4" s="7" t="s">
        <v>13</v>
      </c>
      <c r="O4" s="7" t="s">
        <v>18</v>
      </c>
      <c r="P4" s="7" t="s">
        <v>14</v>
      </c>
    </row>
    <row r="5">
      <c r="A5" s="7">
        <f t="shared" si="1"/>
        <v>3</v>
      </c>
      <c r="B5" s="7" t="s">
        <v>19</v>
      </c>
      <c r="C5" s="7">
        <v>15.0</v>
      </c>
      <c r="D5" s="7" t="s">
        <v>20</v>
      </c>
      <c r="E5" s="7" t="s">
        <v>21</v>
      </c>
      <c r="F5" s="7" t="s">
        <v>14</v>
      </c>
      <c r="G5" s="7" t="s">
        <v>14</v>
      </c>
      <c r="J5" s="8"/>
      <c r="K5" s="7">
        <f t="shared" si="2"/>
        <v>3</v>
      </c>
      <c r="L5" s="7" t="s">
        <v>22</v>
      </c>
      <c r="M5" s="7">
        <v>45.0</v>
      </c>
      <c r="N5" s="7" t="s">
        <v>13</v>
      </c>
      <c r="O5" s="7" t="s">
        <v>21</v>
      </c>
      <c r="P5" s="7" t="s">
        <v>14</v>
      </c>
    </row>
    <row r="6">
      <c r="A6" s="7">
        <f t="shared" si="1"/>
        <v>4</v>
      </c>
      <c r="B6" s="7" t="s">
        <v>23</v>
      </c>
      <c r="C6" s="7">
        <v>16.0</v>
      </c>
      <c r="D6" s="7" t="s">
        <v>20</v>
      </c>
      <c r="E6" s="7"/>
      <c r="F6" s="7" t="s">
        <v>14</v>
      </c>
      <c r="G6" s="7" t="s">
        <v>14</v>
      </c>
      <c r="J6" s="8"/>
      <c r="K6" s="7">
        <f t="shared" si="2"/>
        <v>4</v>
      </c>
      <c r="L6" s="7" t="s">
        <v>24</v>
      </c>
      <c r="M6" s="7">
        <v>36.0</v>
      </c>
      <c r="N6" s="7" t="s">
        <v>13</v>
      </c>
      <c r="O6" s="7"/>
      <c r="P6" s="7" t="s">
        <v>14</v>
      </c>
      <c r="Q6" s="7" t="s">
        <v>14</v>
      </c>
    </row>
    <row r="7">
      <c r="A7" s="7">
        <f t="shared" si="1"/>
        <v>5</v>
      </c>
      <c r="B7" s="7" t="s">
        <v>25</v>
      </c>
      <c r="C7" s="7">
        <v>15.0</v>
      </c>
      <c r="D7" s="7" t="s">
        <v>13</v>
      </c>
      <c r="E7" s="7" t="s">
        <v>21</v>
      </c>
      <c r="F7" s="7" t="s">
        <v>14</v>
      </c>
      <c r="G7" s="7" t="s">
        <v>14</v>
      </c>
      <c r="J7" s="8"/>
      <c r="K7" s="7">
        <f t="shared" si="2"/>
        <v>5</v>
      </c>
      <c r="L7" s="7" t="s">
        <v>26</v>
      </c>
      <c r="M7" s="7">
        <v>37.0</v>
      </c>
      <c r="N7" s="7" t="s">
        <v>13</v>
      </c>
      <c r="O7" s="7"/>
      <c r="P7" s="7" t="s">
        <v>14</v>
      </c>
      <c r="Q7" s="7" t="s">
        <v>14</v>
      </c>
    </row>
    <row r="8">
      <c r="A8" s="7">
        <f t="shared" si="1"/>
        <v>6</v>
      </c>
      <c r="B8" s="7" t="s">
        <v>27</v>
      </c>
      <c r="C8" s="7">
        <v>12.0</v>
      </c>
      <c r="D8" s="7" t="s">
        <v>13</v>
      </c>
      <c r="E8" s="7" t="s">
        <v>28</v>
      </c>
      <c r="F8" s="7" t="s">
        <v>14</v>
      </c>
      <c r="J8" s="8"/>
      <c r="K8" s="7">
        <f t="shared" si="2"/>
        <v>6</v>
      </c>
      <c r="L8" s="7" t="s">
        <v>29</v>
      </c>
      <c r="M8" s="7">
        <v>50.0</v>
      </c>
      <c r="N8" s="7" t="s">
        <v>13</v>
      </c>
      <c r="O8" s="7"/>
      <c r="P8" s="7" t="s">
        <v>14</v>
      </c>
    </row>
    <row r="9">
      <c r="A9" s="7">
        <v>7.0</v>
      </c>
      <c r="B9" s="7" t="s">
        <v>30</v>
      </c>
      <c r="C9" s="7">
        <v>16.0</v>
      </c>
      <c r="D9" s="7" t="s">
        <v>13</v>
      </c>
      <c r="J9" s="9"/>
      <c r="K9" s="7">
        <f t="shared" si="2"/>
        <v>7</v>
      </c>
      <c r="L9" s="7" t="s">
        <v>31</v>
      </c>
      <c r="M9" s="7">
        <v>22.0</v>
      </c>
      <c r="N9" s="7" t="s">
        <v>20</v>
      </c>
      <c r="O9" s="7" t="s">
        <v>18</v>
      </c>
      <c r="P9" s="7" t="s">
        <v>14</v>
      </c>
      <c r="Q9" s="7" t="s">
        <v>14</v>
      </c>
      <c r="R9" s="7" t="s">
        <v>14</v>
      </c>
    </row>
    <row r="10">
      <c r="A10" s="7">
        <v>8.0</v>
      </c>
      <c r="B10" s="7" t="s">
        <v>32</v>
      </c>
      <c r="C10" s="7">
        <v>17.0</v>
      </c>
      <c r="D10" s="7" t="s">
        <v>13</v>
      </c>
      <c r="E10" s="7" t="s">
        <v>33</v>
      </c>
      <c r="F10" s="7" t="s">
        <v>14</v>
      </c>
      <c r="J10" s="9"/>
      <c r="K10" s="7">
        <f t="shared" si="2"/>
        <v>8</v>
      </c>
      <c r="L10" s="7" t="s">
        <v>34</v>
      </c>
      <c r="M10" s="7">
        <v>27.0</v>
      </c>
      <c r="N10" s="7" t="s">
        <v>20</v>
      </c>
      <c r="O10" s="7" t="s">
        <v>18</v>
      </c>
      <c r="P10" s="7" t="s">
        <v>14</v>
      </c>
      <c r="Q10" s="7" t="s">
        <v>14</v>
      </c>
    </row>
    <row r="11">
      <c r="A11" s="7">
        <v>9.0</v>
      </c>
      <c r="B11" s="7" t="s">
        <v>35</v>
      </c>
      <c r="C11" s="7">
        <v>17.0</v>
      </c>
      <c r="D11" s="7" t="s">
        <v>13</v>
      </c>
      <c r="J11" s="10"/>
      <c r="K11" s="11">
        <f t="shared" ref="K11:K13" si="3">ROW(K10)</f>
        <v>10</v>
      </c>
      <c r="L11" s="7" t="s">
        <v>36</v>
      </c>
      <c r="M11" s="7">
        <v>31.0</v>
      </c>
      <c r="N11" s="7" t="s">
        <v>13</v>
      </c>
      <c r="P11" s="7" t="s">
        <v>14</v>
      </c>
      <c r="S11" s="7" t="s">
        <v>10</v>
      </c>
    </row>
    <row r="12">
      <c r="A12" s="7">
        <v>10.0</v>
      </c>
      <c r="B12" s="7" t="s">
        <v>37</v>
      </c>
      <c r="C12" s="7">
        <v>15.0</v>
      </c>
      <c r="D12" s="7" t="s">
        <v>13</v>
      </c>
      <c r="J12" s="10"/>
      <c r="K12" s="11">
        <f t="shared" si="3"/>
        <v>11</v>
      </c>
      <c r="L12" s="7" t="s">
        <v>38</v>
      </c>
      <c r="M12" s="7">
        <v>19.0</v>
      </c>
      <c r="N12" s="7" t="s">
        <v>13</v>
      </c>
      <c r="O12" s="7" t="s">
        <v>21</v>
      </c>
      <c r="P12" s="7" t="s">
        <v>14</v>
      </c>
      <c r="Q12" s="7" t="s">
        <v>14</v>
      </c>
    </row>
    <row r="13">
      <c r="A13" s="7">
        <v>11.0</v>
      </c>
      <c r="B13" s="7" t="s">
        <v>39</v>
      </c>
      <c r="C13" s="7">
        <v>15.0</v>
      </c>
      <c r="D13" s="7" t="s">
        <v>13</v>
      </c>
      <c r="J13" s="9"/>
      <c r="K13" s="11">
        <f t="shared" si="3"/>
        <v>12</v>
      </c>
      <c r="L13" s="7" t="s">
        <v>40</v>
      </c>
      <c r="M13" s="7">
        <v>27.0</v>
      </c>
      <c r="N13" s="7" t="s">
        <v>13</v>
      </c>
    </row>
    <row r="14">
      <c r="A14" s="7">
        <v>12.0</v>
      </c>
      <c r="B14" s="7" t="s">
        <v>41</v>
      </c>
      <c r="C14" s="7">
        <v>15.0</v>
      </c>
      <c r="D14" s="7" t="s">
        <v>20</v>
      </c>
      <c r="E14" s="7" t="s">
        <v>21</v>
      </c>
      <c r="J14" s="10"/>
      <c r="K14" s="11">
        <v>13.0</v>
      </c>
      <c r="L14" s="7" t="s">
        <v>42</v>
      </c>
      <c r="M14" s="7">
        <v>25.0</v>
      </c>
      <c r="N14" s="7" t="s">
        <v>13</v>
      </c>
    </row>
    <row r="15">
      <c r="A15" s="7">
        <v>13.0</v>
      </c>
      <c r="B15" s="7" t="s">
        <v>43</v>
      </c>
      <c r="C15" s="7">
        <v>8.0</v>
      </c>
      <c r="D15" s="7" t="s">
        <v>13</v>
      </c>
      <c r="J15" s="10"/>
      <c r="K15" s="11">
        <v>14.0</v>
      </c>
      <c r="L15" s="7" t="s">
        <v>44</v>
      </c>
      <c r="M15" s="7">
        <v>26.0</v>
      </c>
      <c r="N15" s="7" t="s">
        <v>13</v>
      </c>
    </row>
    <row r="16">
      <c r="A16" s="7">
        <v>14.0</v>
      </c>
      <c r="B16" s="7" t="s">
        <v>45</v>
      </c>
      <c r="C16" s="7">
        <v>17.0</v>
      </c>
      <c r="D16" s="7" t="s">
        <v>13</v>
      </c>
      <c r="J16" s="10"/>
      <c r="K16" s="11">
        <f t="shared" ref="K16:K25" si="4">K15+1</f>
        <v>15</v>
      </c>
      <c r="L16" s="7" t="s">
        <v>46</v>
      </c>
      <c r="M16" s="7">
        <v>26.0</v>
      </c>
      <c r="N16" s="7" t="s">
        <v>13</v>
      </c>
    </row>
    <row r="17">
      <c r="A17" s="7">
        <v>15.0</v>
      </c>
      <c r="B17" s="7" t="s">
        <v>47</v>
      </c>
      <c r="C17" s="7">
        <v>9.0</v>
      </c>
      <c r="D17" s="7" t="s">
        <v>20</v>
      </c>
      <c r="J17" s="10"/>
      <c r="K17" s="11">
        <f t="shared" si="4"/>
        <v>16</v>
      </c>
      <c r="L17" s="7" t="s">
        <v>48</v>
      </c>
      <c r="M17" s="7">
        <v>38.0</v>
      </c>
      <c r="N17" s="7" t="s">
        <v>13</v>
      </c>
    </row>
    <row r="18">
      <c r="A18" s="7">
        <v>16.0</v>
      </c>
      <c r="B18" s="7" t="s">
        <v>49</v>
      </c>
      <c r="C18" s="7">
        <v>12.0</v>
      </c>
      <c r="D18" s="7" t="s">
        <v>13</v>
      </c>
      <c r="J18" s="10"/>
      <c r="K18" s="11">
        <f t="shared" si="4"/>
        <v>17</v>
      </c>
      <c r="L18" s="7" t="s">
        <v>50</v>
      </c>
      <c r="M18" s="7">
        <v>18.0</v>
      </c>
      <c r="N18" s="7" t="s">
        <v>13</v>
      </c>
      <c r="O18" s="7" t="s">
        <v>33</v>
      </c>
      <c r="P18" s="7" t="s">
        <v>14</v>
      </c>
    </row>
    <row r="19">
      <c r="A19" s="7">
        <v>17.0</v>
      </c>
      <c r="B19" s="7" t="s">
        <v>51</v>
      </c>
      <c r="C19" s="7">
        <v>7.0</v>
      </c>
      <c r="D19" s="7" t="s">
        <v>13</v>
      </c>
      <c r="J19" s="10"/>
      <c r="K19" s="11">
        <f t="shared" si="4"/>
        <v>18</v>
      </c>
      <c r="L19" s="7" t="s">
        <v>52</v>
      </c>
      <c r="M19" s="7">
        <v>18.0</v>
      </c>
      <c r="N19" s="7" t="s">
        <v>13</v>
      </c>
    </row>
    <row r="20">
      <c r="A20" s="7">
        <v>18.0</v>
      </c>
      <c r="B20" s="12" t="s">
        <v>53</v>
      </c>
      <c r="C20" s="7">
        <v>7.0</v>
      </c>
      <c r="D20" s="7" t="s">
        <v>13</v>
      </c>
      <c r="J20" s="10"/>
      <c r="K20" s="11">
        <f t="shared" si="4"/>
        <v>19</v>
      </c>
      <c r="L20" s="7" t="s">
        <v>54</v>
      </c>
      <c r="M20" s="7">
        <v>24.0</v>
      </c>
      <c r="N20" s="7" t="s">
        <v>13</v>
      </c>
    </row>
    <row r="21">
      <c r="A21" s="7">
        <v>19.0</v>
      </c>
      <c r="B21" s="12" t="s">
        <v>52</v>
      </c>
      <c r="C21" s="7">
        <v>18.0</v>
      </c>
      <c r="D21" s="7" t="s">
        <v>13</v>
      </c>
      <c r="J21" s="10"/>
      <c r="K21" s="11">
        <f t="shared" si="4"/>
        <v>20</v>
      </c>
      <c r="L21" s="7" t="s">
        <v>55</v>
      </c>
      <c r="M21" s="7">
        <v>19.0</v>
      </c>
      <c r="N21" s="7" t="s">
        <v>13</v>
      </c>
    </row>
    <row r="22">
      <c r="J22" s="10"/>
      <c r="K22" s="11">
        <f t="shared" si="4"/>
        <v>21</v>
      </c>
      <c r="L22" s="7" t="s">
        <v>56</v>
      </c>
      <c r="M22" s="7">
        <v>42.0</v>
      </c>
      <c r="N22" s="7" t="s">
        <v>13</v>
      </c>
    </row>
    <row r="23">
      <c r="J23" s="10"/>
      <c r="K23" s="11">
        <f t="shared" si="4"/>
        <v>22</v>
      </c>
      <c r="L23" s="7" t="s">
        <v>57</v>
      </c>
      <c r="M23" s="7">
        <v>18.0</v>
      </c>
      <c r="N23" s="7" t="s">
        <v>20</v>
      </c>
    </row>
    <row r="24">
      <c r="B24" s="12"/>
      <c r="J24" s="10"/>
      <c r="K24" s="11">
        <f t="shared" si="4"/>
        <v>23</v>
      </c>
      <c r="L24" s="7" t="s">
        <v>58</v>
      </c>
      <c r="M24" s="7">
        <v>20.0</v>
      </c>
      <c r="N24" s="7" t="s">
        <v>13</v>
      </c>
    </row>
    <row r="25">
      <c r="J25" s="10"/>
      <c r="K25" s="11">
        <f t="shared" si="4"/>
        <v>24</v>
      </c>
      <c r="L25" s="7" t="s">
        <v>59</v>
      </c>
      <c r="M25" s="7">
        <v>34.0</v>
      </c>
      <c r="N25" s="7" t="s">
        <v>13</v>
      </c>
      <c r="O25" s="7" t="s">
        <v>28</v>
      </c>
    </row>
    <row r="26">
      <c r="J26" s="10"/>
      <c r="K26" s="11">
        <v>25.0</v>
      </c>
      <c r="L26" s="12" t="s">
        <v>60</v>
      </c>
      <c r="M26" s="13"/>
      <c r="N26" s="7" t="s">
        <v>13</v>
      </c>
    </row>
    <row r="27">
      <c r="J27" s="10"/>
      <c r="K27" s="7">
        <v>26.0</v>
      </c>
      <c r="L27" s="12" t="s">
        <v>29</v>
      </c>
      <c r="M27" s="13">
        <v>50.0</v>
      </c>
      <c r="N27" s="7" t="s">
        <v>13</v>
      </c>
      <c r="O27" s="7" t="s">
        <v>21</v>
      </c>
    </row>
    <row r="28">
      <c r="K28" s="7">
        <v>27.0</v>
      </c>
      <c r="L28" s="12" t="s">
        <v>61</v>
      </c>
      <c r="M28" s="14"/>
      <c r="N28" s="7" t="s">
        <v>13</v>
      </c>
    </row>
    <row r="29">
      <c r="K29" s="7">
        <v>28.0</v>
      </c>
      <c r="L29" s="12" t="s">
        <v>62</v>
      </c>
      <c r="M29" s="14"/>
      <c r="N29" s="7" t="s">
        <v>13</v>
      </c>
    </row>
    <row r="30">
      <c r="K30" s="7">
        <v>29.0</v>
      </c>
      <c r="L30" s="12" t="s">
        <v>63</v>
      </c>
      <c r="M30" s="13">
        <v>40.0</v>
      </c>
      <c r="N30" s="7" t="s">
        <v>13</v>
      </c>
      <c r="O30" s="7" t="s">
        <v>18</v>
      </c>
    </row>
    <row r="31">
      <c r="K31" s="7">
        <v>30.0</v>
      </c>
      <c r="L31" s="12" t="s">
        <v>64</v>
      </c>
      <c r="M31" s="13">
        <v>40.0</v>
      </c>
      <c r="N31" s="7" t="s">
        <v>13</v>
      </c>
    </row>
    <row r="34">
      <c r="L34" s="12"/>
      <c r="M34" s="14"/>
    </row>
    <row r="35">
      <c r="M35" s="14"/>
    </row>
    <row r="36">
      <c r="M36" s="14"/>
    </row>
  </sheetData>
  <mergeCells count="2">
    <mergeCell ref="A1:I1"/>
    <mergeCell ref="K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3.0"/>
    <col customWidth="1" min="3" max="4" width="7.63"/>
    <col customWidth="1" min="5" max="5" width="11.13"/>
    <col customWidth="1" min="6" max="7" width="7.63"/>
    <col customWidth="1" min="8" max="8" width="12.75"/>
    <col customWidth="1" min="9" max="9" width="7.63"/>
    <col customWidth="1" min="10" max="10" width="2.0"/>
    <col customWidth="1" min="11" max="11" width="5.88"/>
    <col customWidth="1" min="12" max="12" width="14.13"/>
    <col customWidth="1" min="13" max="14" width="7.63"/>
    <col customWidth="1" min="15" max="15" width="11.13"/>
    <col customWidth="1" min="16" max="17" width="7.63"/>
    <col customWidth="1" min="19" max="19" width="7.63"/>
  </cols>
  <sheetData>
    <row r="1">
      <c r="A1" s="1" t="s">
        <v>0</v>
      </c>
      <c r="I1" s="2"/>
      <c r="J1" s="1"/>
      <c r="K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15" t="s">
        <v>10</v>
      </c>
      <c r="J2" s="15"/>
      <c r="K2" s="6" t="s">
        <v>2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11</v>
      </c>
      <c r="Q2" s="4" t="s">
        <v>8</v>
      </c>
      <c r="R2" s="4" t="s">
        <v>9</v>
      </c>
      <c r="S2" s="4" t="s">
        <v>10</v>
      </c>
    </row>
    <row r="3">
      <c r="A3" s="7">
        <f t="shared" ref="A3:A7" si="1">ROW(A1)</f>
        <v>1</v>
      </c>
      <c r="B3" s="7" t="s">
        <v>32</v>
      </c>
      <c r="C3" s="7">
        <v>17.0</v>
      </c>
      <c r="D3" s="7" t="s">
        <v>13</v>
      </c>
      <c r="E3" s="7" t="s">
        <v>33</v>
      </c>
      <c r="F3" s="7" t="s">
        <v>14</v>
      </c>
      <c r="I3" s="16"/>
      <c r="J3" s="17"/>
      <c r="K3" s="7">
        <f t="shared" ref="K3:K9" si="2">ROW(K1)</f>
        <v>1</v>
      </c>
      <c r="L3" s="7" t="s">
        <v>26</v>
      </c>
      <c r="M3" s="7">
        <v>37.0</v>
      </c>
      <c r="N3" s="7" t="s">
        <v>13</v>
      </c>
      <c r="O3" s="7"/>
      <c r="P3" s="7" t="s">
        <v>14</v>
      </c>
      <c r="Q3" s="7" t="s">
        <v>14</v>
      </c>
    </row>
    <row r="4">
      <c r="A4" s="7">
        <f t="shared" si="1"/>
        <v>2</v>
      </c>
      <c r="B4" s="7" t="s">
        <v>25</v>
      </c>
      <c r="C4" s="7">
        <v>15.0</v>
      </c>
      <c r="D4" s="7" t="s">
        <v>13</v>
      </c>
      <c r="E4" s="7" t="s">
        <v>21</v>
      </c>
      <c r="F4" s="7" t="s">
        <v>14</v>
      </c>
      <c r="G4" s="7" t="s">
        <v>14</v>
      </c>
      <c r="I4" s="16"/>
      <c r="J4" s="17"/>
      <c r="K4" s="7">
        <f t="shared" si="2"/>
        <v>2</v>
      </c>
      <c r="L4" s="7" t="s">
        <v>65</v>
      </c>
      <c r="M4" s="7">
        <v>35.0</v>
      </c>
      <c r="N4" s="7" t="s">
        <v>20</v>
      </c>
      <c r="O4" s="7"/>
      <c r="P4" s="7" t="s">
        <v>14</v>
      </c>
    </row>
    <row r="5">
      <c r="A5" s="7">
        <f t="shared" si="1"/>
        <v>3</v>
      </c>
      <c r="B5" s="7" t="s">
        <v>27</v>
      </c>
      <c r="C5" s="7">
        <v>12.0</v>
      </c>
      <c r="D5" s="7" t="s">
        <v>13</v>
      </c>
      <c r="E5" s="7" t="s">
        <v>28</v>
      </c>
      <c r="F5" s="7" t="s">
        <v>14</v>
      </c>
      <c r="I5" s="16"/>
      <c r="J5" s="17"/>
      <c r="K5" s="7">
        <f t="shared" si="2"/>
        <v>3</v>
      </c>
      <c r="L5" s="7" t="s">
        <v>66</v>
      </c>
      <c r="M5" s="7">
        <v>36.0</v>
      </c>
      <c r="N5" s="7" t="s">
        <v>13</v>
      </c>
      <c r="O5" s="7"/>
      <c r="P5" s="7" t="s">
        <v>14</v>
      </c>
      <c r="Q5" s="7" t="s">
        <v>14</v>
      </c>
    </row>
    <row r="6">
      <c r="A6" s="7">
        <f t="shared" si="1"/>
        <v>4</v>
      </c>
      <c r="B6" s="7" t="s">
        <v>67</v>
      </c>
      <c r="C6" s="7">
        <v>15.0</v>
      </c>
      <c r="D6" s="7" t="s">
        <v>13</v>
      </c>
      <c r="E6" s="7" t="s">
        <v>28</v>
      </c>
      <c r="G6" s="7" t="s">
        <v>14</v>
      </c>
      <c r="I6" s="16"/>
      <c r="J6" s="17"/>
      <c r="K6" s="7">
        <f t="shared" si="2"/>
        <v>4</v>
      </c>
      <c r="L6" s="7" t="s">
        <v>68</v>
      </c>
      <c r="M6" s="7"/>
      <c r="N6" s="7" t="s">
        <v>69</v>
      </c>
      <c r="O6" s="7"/>
      <c r="P6" s="7" t="s">
        <v>14</v>
      </c>
      <c r="Q6" s="7"/>
    </row>
    <row r="7">
      <c r="A7" s="7">
        <f t="shared" si="1"/>
        <v>5</v>
      </c>
      <c r="B7" s="7" t="s">
        <v>70</v>
      </c>
      <c r="C7" s="7">
        <v>12.0</v>
      </c>
      <c r="D7" s="7" t="s">
        <v>20</v>
      </c>
      <c r="E7" s="7" t="s">
        <v>18</v>
      </c>
      <c r="I7" s="16"/>
      <c r="J7" s="17"/>
      <c r="K7" s="7">
        <f t="shared" si="2"/>
        <v>5</v>
      </c>
      <c r="L7" s="7" t="s">
        <v>31</v>
      </c>
      <c r="M7" s="7">
        <v>22.0</v>
      </c>
      <c r="N7" s="7" t="s">
        <v>20</v>
      </c>
      <c r="O7" s="7" t="s">
        <v>18</v>
      </c>
      <c r="R7" s="7" t="s">
        <v>14</v>
      </c>
    </row>
    <row r="8">
      <c r="A8" s="7">
        <v>6.0</v>
      </c>
      <c r="B8" s="7" t="s">
        <v>30</v>
      </c>
      <c r="C8" s="7">
        <v>16.0</v>
      </c>
      <c r="D8" s="7" t="s">
        <v>13</v>
      </c>
      <c r="F8" s="7" t="s">
        <v>14</v>
      </c>
      <c r="I8" s="16"/>
      <c r="J8" s="17"/>
      <c r="K8" s="7">
        <f t="shared" si="2"/>
        <v>6</v>
      </c>
      <c r="L8" s="7" t="s">
        <v>34</v>
      </c>
      <c r="M8" s="7">
        <v>27.0</v>
      </c>
      <c r="N8" s="7" t="s">
        <v>20</v>
      </c>
      <c r="O8" s="7"/>
      <c r="P8" s="7" t="s">
        <v>14</v>
      </c>
    </row>
    <row r="9">
      <c r="A9" s="7">
        <v>7.0</v>
      </c>
      <c r="B9" s="7" t="s">
        <v>71</v>
      </c>
      <c r="C9" s="7">
        <v>12.0</v>
      </c>
      <c r="D9" s="7" t="s">
        <v>13</v>
      </c>
      <c r="E9" s="7" t="s">
        <v>72</v>
      </c>
      <c r="I9" s="16"/>
      <c r="J9" s="16"/>
      <c r="K9" s="7">
        <f t="shared" si="2"/>
        <v>7</v>
      </c>
      <c r="L9" s="7" t="s">
        <v>73</v>
      </c>
      <c r="N9" s="7" t="s">
        <v>20</v>
      </c>
      <c r="O9" s="7" t="s">
        <v>18</v>
      </c>
      <c r="P9" s="7" t="s">
        <v>14</v>
      </c>
    </row>
    <row r="10">
      <c r="I10" s="16"/>
      <c r="J10" s="16"/>
      <c r="K10" s="7">
        <v>8.0</v>
      </c>
      <c r="L10" s="7" t="s">
        <v>42</v>
      </c>
      <c r="M10" s="7">
        <v>25.0</v>
      </c>
      <c r="N10" s="7" t="s">
        <v>13</v>
      </c>
    </row>
    <row r="11">
      <c r="I11" s="16"/>
      <c r="K11" s="11">
        <v>9.0</v>
      </c>
      <c r="L11" s="7" t="s">
        <v>48</v>
      </c>
      <c r="M11" s="7">
        <v>39.0</v>
      </c>
      <c r="N11" s="7" t="s">
        <v>13</v>
      </c>
    </row>
    <row r="12">
      <c r="I12" s="16"/>
      <c r="K12" s="11">
        <v>10.0</v>
      </c>
      <c r="L12" s="7" t="s">
        <v>44</v>
      </c>
      <c r="M12" s="7">
        <v>26.0</v>
      </c>
      <c r="N12" s="7" t="s">
        <v>13</v>
      </c>
    </row>
    <row r="13">
      <c r="I13" s="16"/>
      <c r="K13" s="11">
        <v>11.0</v>
      </c>
      <c r="L13" s="7" t="s">
        <v>74</v>
      </c>
      <c r="M13" s="7">
        <v>21.0</v>
      </c>
      <c r="N13" s="7" t="s">
        <v>13</v>
      </c>
      <c r="O13" s="7" t="s">
        <v>18</v>
      </c>
    </row>
    <row r="14">
      <c r="I14" s="16"/>
      <c r="K14" s="11">
        <v>12.0</v>
      </c>
      <c r="L14" s="7" t="s">
        <v>75</v>
      </c>
      <c r="M14" s="7">
        <v>25.0</v>
      </c>
      <c r="N14" s="7" t="s">
        <v>76</v>
      </c>
    </row>
    <row r="15">
      <c r="I15" s="16"/>
      <c r="K15" s="11">
        <v>13.0</v>
      </c>
      <c r="L15" s="7" t="s">
        <v>15</v>
      </c>
      <c r="M15" s="7">
        <v>25.0</v>
      </c>
      <c r="N15" s="7" t="s">
        <v>13</v>
      </c>
    </row>
    <row r="16">
      <c r="I16" s="16"/>
      <c r="K16" s="11">
        <v>14.0</v>
      </c>
      <c r="L16" s="7" t="s">
        <v>64</v>
      </c>
      <c r="M16" s="7">
        <v>40.0</v>
      </c>
      <c r="N16" s="7" t="s">
        <v>13</v>
      </c>
    </row>
    <row r="17">
      <c r="I17" s="16"/>
      <c r="K17" s="11">
        <v>15.0</v>
      </c>
      <c r="L17" s="7" t="s">
        <v>77</v>
      </c>
      <c r="M17" s="7">
        <v>24.0</v>
      </c>
      <c r="N17" s="7" t="s">
        <v>13</v>
      </c>
      <c r="O17" s="7" t="s">
        <v>78</v>
      </c>
      <c r="P17" s="7" t="s">
        <v>14</v>
      </c>
      <c r="Q17" s="7" t="s">
        <v>14</v>
      </c>
    </row>
    <row r="18">
      <c r="I18" s="16"/>
      <c r="K18" s="11">
        <v>16.0</v>
      </c>
      <c r="L18" s="7" t="s">
        <v>38</v>
      </c>
      <c r="M18" s="7">
        <v>18.0</v>
      </c>
      <c r="N18" s="7" t="s">
        <v>13</v>
      </c>
      <c r="O18" s="7" t="s">
        <v>21</v>
      </c>
      <c r="P18" s="7" t="s">
        <v>14</v>
      </c>
      <c r="Q18" s="7" t="s">
        <v>14</v>
      </c>
    </row>
    <row r="19">
      <c r="I19" s="16"/>
      <c r="K19" s="11">
        <v>17.0</v>
      </c>
      <c r="L19" s="7" t="s">
        <v>50</v>
      </c>
      <c r="M19" s="7">
        <v>18.0</v>
      </c>
      <c r="N19" s="7" t="s">
        <v>13</v>
      </c>
      <c r="O19" s="7" t="s">
        <v>33</v>
      </c>
      <c r="P19" s="7" t="s">
        <v>14</v>
      </c>
    </row>
    <row r="20">
      <c r="I20" s="16"/>
      <c r="K20" s="11">
        <v>18.0</v>
      </c>
      <c r="L20" s="7" t="s">
        <v>79</v>
      </c>
      <c r="M20" s="7">
        <v>40.0</v>
      </c>
      <c r="N20" s="7" t="s">
        <v>20</v>
      </c>
      <c r="O20" s="7" t="s">
        <v>28</v>
      </c>
    </row>
    <row r="21">
      <c r="I21" s="16"/>
      <c r="K21" s="10"/>
    </row>
    <row r="22">
      <c r="I22" s="16"/>
      <c r="K22" s="10"/>
    </row>
    <row r="23">
      <c r="I23" s="16"/>
      <c r="K23" s="10"/>
    </row>
    <row r="24">
      <c r="I24" s="16"/>
      <c r="K24" s="10"/>
    </row>
    <row r="25">
      <c r="I25" s="16"/>
      <c r="K25" s="10"/>
    </row>
    <row r="26">
      <c r="I26" s="16"/>
      <c r="K26" s="10"/>
    </row>
    <row r="27">
      <c r="I27" s="16"/>
      <c r="K27" s="10"/>
    </row>
  </sheetData>
  <mergeCells count="2">
    <mergeCell ref="A1:I1"/>
    <mergeCell ref="K1:S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5.63"/>
    <col customWidth="1" min="3" max="3" width="4.13"/>
    <col customWidth="1" min="4" max="4" width="6.88"/>
    <col customWidth="1" min="5" max="5" width="11.13"/>
  </cols>
  <sheetData>
    <row r="1">
      <c r="A1" s="4" t="s">
        <v>2</v>
      </c>
      <c r="B1" s="4" t="s">
        <v>80</v>
      </c>
      <c r="C1" s="4" t="s">
        <v>4</v>
      </c>
      <c r="D1" s="4" t="s">
        <v>5</v>
      </c>
      <c r="E1" s="4" t="s">
        <v>6</v>
      </c>
    </row>
    <row r="2">
      <c r="A2" s="18">
        <f t="shared" ref="A2:A71" si="1">ROW(A1)</f>
        <v>1</v>
      </c>
      <c r="B2" s="18" t="str">
        <f>IFERROR(__xludf.DUMMYFUNCTION("IFERROR(UNIQUE(QUERY({FILTER(Badminton!B3:E1001, LEN(Badminton!B3:B1001));FILTER(Badminton!L3:O1001, LEN(Badminton!L3:L1001));FILTER(TT!B3:E1001, LEN(TT!B3:B1001));FILTER(TT!L3:O1001, LEN(TT!L3:L1001))}, ""SELECT Col1, Col2, Col3, Col4 WHERE Col1 IS NOT N"&amp;"ULL"", 0)), """")"),"P008")</f>
        <v>P008</v>
      </c>
      <c r="C2" s="18">
        <f>IFERROR(__xludf.DUMMYFUNCTION("""COMPUTED_VALUE"""),17.0)</f>
        <v>17</v>
      </c>
      <c r="D2" s="18" t="str">
        <f>IFERROR(__xludf.DUMMYFUNCTION("""COMPUTED_VALUE"""),"Male")</f>
        <v>Male</v>
      </c>
      <c r="E2" s="18" t="str">
        <f>IFERROR(__xludf.DUMMYFUNCTION("""COMPUTED_VALUE"""),"AB+")</f>
        <v>AB+</v>
      </c>
    </row>
    <row r="3">
      <c r="A3" s="18">
        <f t="shared" si="1"/>
        <v>2</v>
      </c>
      <c r="B3" s="18" t="str">
        <f>IFERROR(__xludf.DUMMYFUNCTION("""COMPUTED_VALUE"""),"P005")</f>
        <v>P005</v>
      </c>
      <c r="C3" s="18">
        <f>IFERROR(__xludf.DUMMYFUNCTION("""COMPUTED_VALUE"""),15.0)</f>
        <v>15</v>
      </c>
      <c r="D3" s="18" t="str">
        <f>IFERROR(__xludf.DUMMYFUNCTION("""COMPUTED_VALUE"""),"Male")</f>
        <v>Male</v>
      </c>
      <c r="E3" s="18" t="str">
        <f>IFERROR(__xludf.DUMMYFUNCTION("""COMPUTED_VALUE"""),"O+")</f>
        <v>O+</v>
      </c>
    </row>
    <row r="4">
      <c r="A4" s="18">
        <f t="shared" si="1"/>
        <v>3</v>
      </c>
      <c r="B4" s="18" t="str">
        <f>IFERROR(__xludf.DUMMYFUNCTION("""COMPUTED_VALUE"""),"P006")</f>
        <v>P006</v>
      </c>
      <c r="C4" s="18">
        <f>IFERROR(__xludf.DUMMYFUNCTION("""COMPUTED_VALUE"""),12.0)</f>
        <v>12</v>
      </c>
      <c r="D4" s="18" t="str">
        <f>IFERROR(__xludf.DUMMYFUNCTION("""COMPUTED_VALUE"""),"Male")</f>
        <v>Male</v>
      </c>
      <c r="E4" s="18" t="str">
        <f>IFERROR(__xludf.DUMMYFUNCTION("""COMPUTED_VALUE"""),"A+")</f>
        <v>A+</v>
      </c>
    </row>
    <row r="5">
      <c r="A5" s="18">
        <f t="shared" si="1"/>
        <v>4</v>
      </c>
      <c r="B5" s="18" t="str">
        <f>IFERROR(__xludf.DUMMYFUNCTION("""COMPUTED_VALUE"""),"P050")</f>
        <v>P050</v>
      </c>
      <c r="C5" s="18">
        <f>IFERROR(__xludf.DUMMYFUNCTION("""COMPUTED_VALUE"""),15.0)</f>
        <v>15</v>
      </c>
      <c r="D5" s="18" t="str">
        <f>IFERROR(__xludf.DUMMYFUNCTION("""COMPUTED_VALUE"""),"Male")</f>
        <v>Male</v>
      </c>
      <c r="E5" s="18" t="str">
        <f>IFERROR(__xludf.DUMMYFUNCTION("""COMPUTED_VALUE"""),"A+")</f>
        <v>A+</v>
      </c>
    </row>
    <row r="6">
      <c r="A6" s="18">
        <f t="shared" si="1"/>
        <v>5</v>
      </c>
      <c r="B6" s="18" t="str">
        <f>IFERROR(__xludf.DUMMYFUNCTION("""COMPUTED_VALUE"""),"P049")</f>
        <v>P049</v>
      </c>
      <c r="C6" s="18">
        <f>IFERROR(__xludf.DUMMYFUNCTION("""COMPUTED_VALUE"""),12.0)</f>
        <v>12</v>
      </c>
      <c r="D6" s="18" t="str">
        <f>IFERROR(__xludf.DUMMYFUNCTION("""COMPUTED_VALUE"""),"Female")</f>
        <v>Female</v>
      </c>
      <c r="E6" s="18" t="str">
        <f>IFERROR(__xludf.DUMMYFUNCTION("""COMPUTED_VALUE"""),"B+")</f>
        <v>B+</v>
      </c>
    </row>
    <row r="7">
      <c r="A7" s="18">
        <f t="shared" si="1"/>
        <v>6</v>
      </c>
      <c r="B7" s="18" t="str">
        <f>IFERROR(__xludf.DUMMYFUNCTION("""COMPUTED_VALUE"""),"P007")</f>
        <v>P007</v>
      </c>
      <c r="C7" s="18">
        <f>IFERROR(__xludf.DUMMYFUNCTION("""COMPUTED_VALUE"""),16.0)</f>
        <v>16</v>
      </c>
      <c r="D7" s="18" t="str">
        <f>IFERROR(__xludf.DUMMYFUNCTION("""COMPUTED_VALUE"""),"Male")</f>
        <v>Male</v>
      </c>
      <c r="E7" s="18"/>
    </row>
    <row r="8">
      <c r="A8" s="18">
        <f t="shared" si="1"/>
        <v>7</v>
      </c>
      <c r="B8" s="18" t="str">
        <f>IFERROR(__xludf.DUMMYFUNCTION("""COMPUTED_VALUE"""),"P048")</f>
        <v>P048</v>
      </c>
      <c r="C8" s="18">
        <f>IFERROR(__xludf.DUMMYFUNCTION("""COMPUTED_VALUE"""),12.0)</f>
        <v>12</v>
      </c>
      <c r="D8" s="18" t="str">
        <f>IFERROR(__xludf.DUMMYFUNCTION("""COMPUTED_VALUE"""),"Male")</f>
        <v>Male</v>
      </c>
      <c r="E8" s="18" t="str">
        <f>IFERROR(__xludf.DUMMYFUNCTION("""COMPUTED_VALUE"""),"A-")</f>
        <v>A-</v>
      </c>
    </row>
    <row r="9">
      <c r="A9" s="18">
        <f t="shared" si="1"/>
        <v>8</v>
      </c>
      <c r="B9" s="18" t="str">
        <f>IFERROR(__xludf.DUMMYFUNCTION("""COMPUTED_VALUE"""),"P025")</f>
        <v>P025</v>
      </c>
      <c r="C9" s="18">
        <f>IFERROR(__xludf.DUMMYFUNCTION("""COMPUTED_VALUE"""),37.0)</f>
        <v>37</v>
      </c>
      <c r="D9" s="18" t="str">
        <f>IFERROR(__xludf.DUMMYFUNCTION("""COMPUTED_VALUE"""),"Male")</f>
        <v>Male</v>
      </c>
      <c r="E9" s="18"/>
    </row>
    <row r="10">
      <c r="A10" s="18">
        <f t="shared" si="1"/>
        <v>9</v>
      </c>
      <c r="B10" s="18" t="str">
        <f>IFERROR(__xludf.DUMMYFUNCTION("""COMPUTED_VALUE"""),"P054")</f>
        <v>P054</v>
      </c>
      <c r="C10" s="18">
        <f>IFERROR(__xludf.DUMMYFUNCTION("""COMPUTED_VALUE"""),35.0)</f>
        <v>35</v>
      </c>
      <c r="D10" s="18" t="str">
        <f>IFERROR(__xludf.DUMMYFUNCTION("""COMPUTED_VALUE"""),"Female")</f>
        <v>Female</v>
      </c>
      <c r="E10" s="18"/>
    </row>
    <row r="11">
      <c r="A11" s="18">
        <f t="shared" si="1"/>
        <v>10</v>
      </c>
      <c r="B11" s="18" t="str">
        <f>IFERROR(__xludf.DUMMYFUNCTION("""COMPUTED_VALUE"""),"P055")</f>
        <v>P055</v>
      </c>
      <c r="C11" s="18">
        <f>IFERROR(__xludf.DUMMYFUNCTION("""COMPUTED_VALUE"""),36.0)</f>
        <v>36</v>
      </c>
      <c r="D11" s="18" t="str">
        <f>IFERROR(__xludf.DUMMYFUNCTION("""COMPUTED_VALUE"""),"Male")</f>
        <v>Male</v>
      </c>
      <c r="E11" s="18"/>
    </row>
    <row r="12">
      <c r="A12" s="18">
        <f t="shared" si="1"/>
        <v>11</v>
      </c>
      <c r="B12" s="18" t="str">
        <f>IFERROR(__xludf.DUMMYFUNCTION("""COMPUTED_VALUE"""),"P056")</f>
        <v>P056</v>
      </c>
      <c r="C12" s="18"/>
      <c r="D12" s="18" t="str">
        <f>IFERROR(__xludf.DUMMYFUNCTION("""COMPUTED_VALUE"""),"Male ")</f>
        <v>Male </v>
      </c>
      <c r="E12" s="18"/>
    </row>
    <row r="13">
      <c r="A13" s="18">
        <f t="shared" si="1"/>
        <v>12</v>
      </c>
      <c r="B13" s="18" t="str">
        <f>IFERROR(__xludf.DUMMYFUNCTION("""COMPUTED_VALUE"""),"P027")</f>
        <v>P027</v>
      </c>
      <c r="C13" s="18">
        <f>IFERROR(__xludf.DUMMYFUNCTION("""COMPUTED_VALUE"""),22.0)</f>
        <v>22</v>
      </c>
      <c r="D13" s="18" t="str">
        <f>IFERROR(__xludf.DUMMYFUNCTION("""COMPUTED_VALUE"""),"Female")</f>
        <v>Female</v>
      </c>
      <c r="E13" s="18" t="str">
        <f>IFERROR(__xludf.DUMMYFUNCTION("""COMPUTED_VALUE"""),"B+")</f>
        <v>B+</v>
      </c>
    </row>
    <row r="14">
      <c r="A14" s="18">
        <f t="shared" si="1"/>
        <v>13</v>
      </c>
      <c r="B14" s="18" t="str">
        <f>IFERROR(__xludf.DUMMYFUNCTION("""COMPUTED_VALUE"""),"P028")</f>
        <v>P028</v>
      </c>
      <c r="C14" s="18">
        <f>IFERROR(__xludf.DUMMYFUNCTION("""COMPUTED_VALUE"""),27.0)</f>
        <v>27</v>
      </c>
      <c r="D14" s="18" t="str">
        <f>IFERROR(__xludf.DUMMYFUNCTION("""COMPUTED_VALUE"""),"Female")</f>
        <v>Female</v>
      </c>
      <c r="E14" s="18"/>
    </row>
    <row r="15">
      <c r="A15" s="18">
        <f t="shared" si="1"/>
        <v>14</v>
      </c>
      <c r="B15" s="18" t="str">
        <f>IFERROR(__xludf.DUMMYFUNCTION("""COMPUTED_VALUE"""),"P057")</f>
        <v>P057</v>
      </c>
      <c r="C15" s="18"/>
      <c r="D15" s="18" t="str">
        <f>IFERROR(__xludf.DUMMYFUNCTION("""COMPUTED_VALUE"""),"Female")</f>
        <v>Female</v>
      </c>
      <c r="E15" s="18" t="str">
        <f>IFERROR(__xludf.DUMMYFUNCTION("""COMPUTED_VALUE"""),"B+")</f>
        <v>B+</v>
      </c>
    </row>
    <row r="16">
      <c r="A16" s="18">
        <f t="shared" si="1"/>
        <v>15</v>
      </c>
      <c r="B16" s="18" t="str">
        <f>IFERROR(__xludf.DUMMYFUNCTION("""COMPUTED_VALUE"""),"P032")</f>
        <v>P032</v>
      </c>
      <c r="C16" s="18">
        <f>IFERROR(__xludf.DUMMYFUNCTION("""COMPUTED_VALUE"""),25.0)</f>
        <v>25</v>
      </c>
      <c r="D16" s="18" t="str">
        <f>IFERROR(__xludf.DUMMYFUNCTION("""COMPUTED_VALUE"""),"Male")</f>
        <v>Male</v>
      </c>
      <c r="E16" s="18"/>
    </row>
    <row r="17">
      <c r="A17" s="18">
        <f t="shared" si="1"/>
        <v>16</v>
      </c>
      <c r="B17" s="18" t="str">
        <f>IFERROR(__xludf.DUMMYFUNCTION("""COMPUTED_VALUE"""),"P035")</f>
        <v>P035</v>
      </c>
      <c r="C17" s="18">
        <f>IFERROR(__xludf.DUMMYFUNCTION("""COMPUTED_VALUE"""),39.0)</f>
        <v>39</v>
      </c>
      <c r="D17" s="18" t="str">
        <f>IFERROR(__xludf.DUMMYFUNCTION("""COMPUTED_VALUE"""),"Male")</f>
        <v>Male</v>
      </c>
      <c r="E17" s="18"/>
    </row>
    <row r="18">
      <c r="A18" s="18">
        <f t="shared" si="1"/>
        <v>17</v>
      </c>
      <c r="B18" s="18" t="str">
        <f>IFERROR(__xludf.DUMMYFUNCTION("""COMPUTED_VALUE"""),"P033")</f>
        <v>P033</v>
      </c>
      <c r="C18" s="18">
        <f>IFERROR(__xludf.DUMMYFUNCTION("""COMPUTED_VALUE"""),26.0)</f>
        <v>26</v>
      </c>
      <c r="D18" s="18" t="str">
        <f>IFERROR(__xludf.DUMMYFUNCTION("""COMPUTED_VALUE"""),"Male")</f>
        <v>Male</v>
      </c>
      <c r="E18" s="18"/>
    </row>
    <row r="19">
      <c r="A19" s="18">
        <f t="shared" si="1"/>
        <v>18</v>
      </c>
      <c r="B19" s="18" t="str">
        <f>IFERROR(__xludf.DUMMYFUNCTION("""COMPUTED_VALUE"""),"P051")</f>
        <v>P051</v>
      </c>
      <c r="C19" s="18">
        <f>IFERROR(__xludf.DUMMYFUNCTION("""COMPUTED_VALUE"""),21.0)</f>
        <v>21</v>
      </c>
      <c r="D19" s="18" t="str">
        <f>IFERROR(__xludf.DUMMYFUNCTION("""COMPUTED_VALUE"""),"Male")</f>
        <v>Male</v>
      </c>
      <c r="E19" s="18" t="str">
        <f>IFERROR(__xludf.DUMMYFUNCTION("""COMPUTED_VALUE"""),"B+")</f>
        <v>B+</v>
      </c>
    </row>
    <row r="20">
      <c r="A20" s="18">
        <f t="shared" si="1"/>
        <v>19</v>
      </c>
      <c r="B20" s="18" t="str">
        <f>IFERROR(__xludf.DUMMYFUNCTION("""COMPUTED_VALUE"""),"P058")</f>
        <v>P058</v>
      </c>
      <c r="C20" s="18">
        <f>IFERROR(__xludf.DUMMYFUNCTION("""COMPUTED_VALUE"""),25.0)</f>
        <v>25</v>
      </c>
      <c r="D20" s="18" t="str">
        <f>IFERROR(__xludf.DUMMYFUNCTION("""COMPUTED_VALUE"""),"Female ")</f>
        <v>Female </v>
      </c>
      <c r="E20" s="18"/>
    </row>
    <row r="21">
      <c r="A21" s="18">
        <f t="shared" si="1"/>
        <v>20</v>
      </c>
      <c r="B21" s="18" t="str">
        <f>IFERROR(__xludf.DUMMYFUNCTION("""COMPUTED_VALUE"""),"P020")</f>
        <v>P020</v>
      </c>
      <c r="C21" s="18">
        <f>IFERROR(__xludf.DUMMYFUNCTION("""COMPUTED_VALUE"""),25.0)</f>
        <v>25</v>
      </c>
      <c r="D21" s="18" t="str">
        <f>IFERROR(__xludf.DUMMYFUNCTION("""COMPUTED_VALUE"""),"Male")</f>
        <v>Male</v>
      </c>
      <c r="E21" s="18"/>
    </row>
    <row r="22">
      <c r="A22" s="18">
        <f t="shared" si="1"/>
        <v>21</v>
      </c>
      <c r="B22" s="18" t="str">
        <f>IFERROR(__xludf.DUMMYFUNCTION("""COMPUTED_VALUE"""),"P047")</f>
        <v>P047</v>
      </c>
      <c r="C22" s="18">
        <f>IFERROR(__xludf.DUMMYFUNCTION("""COMPUTED_VALUE"""),40.0)</f>
        <v>40</v>
      </c>
      <c r="D22" s="18" t="str">
        <f>IFERROR(__xludf.DUMMYFUNCTION("""COMPUTED_VALUE"""),"Male")</f>
        <v>Male</v>
      </c>
      <c r="E22" s="18"/>
    </row>
    <row r="23">
      <c r="A23" s="18">
        <f t="shared" si="1"/>
        <v>22</v>
      </c>
      <c r="B23" s="18" t="str">
        <f>IFERROR(__xludf.DUMMYFUNCTION("""COMPUTED_VALUE"""),"P052")</f>
        <v>P052</v>
      </c>
      <c r="C23" s="18">
        <f>IFERROR(__xludf.DUMMYFUNCTION("""COMPUTED_VALUE"""),24.0)</f>
        <v>24</v>
      </c>
      <c r="D23" s="18" t="str">
        <f>IFERROR(__xludf.DUMMYFUNCTION("""COMPUTED_VALUE"""),"Male")</f>
        <v>Male</v>
      </c>
      <c r="E23" s="18" t="str">
        <f>IFERROR(__xludf.DUMMYFUNCTION("""COMPUTED_VALUE"""),"AB-")</f>
        <v>AB-</v>
      </c>
    </row>
    <row r="24">
      <c r="A24" s="18">
        <f t="shared" si="1"/>
        <v>23</v>
      </c>
      <c r="B24" s="18" t="str">
        <f>IFERROR(__xludf.DUMMYFUNCTION("""COMPUTED_VALUE"""),"P030")</f>
        <v>P030</v>
      </c>
      <c r="C24" s="18">
        <f>IFERROR(__xludf.DUMMYFUNCTION("""COMPUTED_VALUE"""),18.0)</f>
        <v>18</v>
      </c>
      <c r="D24" s="18" t="str">
        <f>IFERROR(__xludf.DUMMYFUNCTION("""COMPUTED_VALUE"""),"Male")</f>
        <v>Male</v>
      </c>
      <c r="E24" s="18" t="str">
        <f>IFERROR(__xludf.DUMMYFUNCTION("""COMPUTED_VALUE"""),"O+")</f>
        <v>O+</v>
      </c>
    </row>
    <row r="25">
      <c r="A25" s="18">
        <f t="shared" si="1"/>
        <v>24</v>
      </c>
      <c r="B25" s="18" t="str">
        <f>IFERROR(__xludf.DUMMYFUNCTION("""COMPUTED_VALUE"""),"P036")</f>
        <v>P036</v>
      </c>
      <c r="C25" s="18">
        <f>IFERROR(__xludf.DUMMYFUNCTION("""COMPUTED_VALUE"""),18.0)</f>
        <v>18</v>
      </c>
      <c r="D25" s="18" t="str">
        <f>IFERROR(__xludf.DUMMYFUNCTION("""COMPUTED_VALUE"""),"Male")</f>
        <v>Male</v>
      </c>
      <c r="E25" s="18" t="str">
        <f>IFERROR(__xludf.DUMMYFUNCTION("""COMPUTED_VALUE"""),"AB+")</f>
        <v>AB+</v>
      </c>
    </row>
    <row r="26">
      <c r="A26" s="18">
        <f t="shared" si="1"/>
        <v>25</v>
      </c>
      <c r="B26" s="18" t="str">
        <f>IFERROR(__xludf.DUMMYFUNCTION("""COMPUTED_VALUE"""),"P053")</f>
        <v>P053</v>
      </c>
      <c r="C26" s="18">
        <f>IFERROR(__xludf.DUMMYFUNCTION("""COMPUTED_VALUE"""),40.0)</f>
        <v>40</v>
      </c>
      <c r="D26" s="18" t="str">
        <f>IFERROR(__xludf.DUMMYFUNCTION("""COMPUTED_VALUE"""),"Female")</f>
        <v>Female</v>
      </c>
      <c r="E26" s="18" t="str">
        <f>IFERROR(__xludf.DUMMYFUNCTION("""COMPUTED_VALUE"""),"A+")</f>
        <v>A+</v>
      </c>
    </row>
    <row r="27">
      <c r="A27" s="18">
        <f t="shared" si="1"/>
        <v>26</v>
      </c>
      <c r="B27" s="18" t="str">
        <f>IFERROR(__xludf.DUMMYFUNCTION("""COMPUTED_VALUE"""),"P001")</f>
        <v>P001</v>
      </c>
      <c r="C27" s="18">
        <f>IFERROR(__xludf.DUMMYFUNCTION("""COMPUTED_VALUE"""),8.0)</f>
        <v>8</v>
      </c>
      <c r="D27" s="18" t="str">
        <f>IFERROR(__xludf.DUMMYFUNCTION("""COMPUTED_VALUE"""),"Male")</f>
        <v>Male</v>
      </c>
      <c r="E27" s="18"/>
    </row>
    <row r="28">
      <c r="A28" s="18">
        <f t="shared" si="1"/>
        <v>27</v>
      </c>
      <c r="B28" s="18" t="str">
        <f>IFERROR(__xludf.DUMMYFUNCTION("""COMPUTED_VALUE"""),"P002")</f>
        <v>P002</v>
      </c>
      <c r="C28" s="18">
        <f>IFERROR(__xludf.DUMMYFUNCTION("""COMPUTED_VALUE"""),10.0)</f>
        <v>10</v>
      </c>
      <c r="D28" s="18" t="str">
        <f>IFERROR(__xludf.DUMMYFUNCTION("""COMPUTED_VALUE"""),"Male")</f>
        <v>Male</v>
      </c>
      <c r="E28" s="18"/>
    </row>
    <row r="29">
      <c r="A29" s="18">
        <f t="shared" si="1"/>
        <v>28</v>
      </c>
      <c r="B29" s="18" t="str">
        <f>IFERROR(__xludf.DUMMYFUNCTION("""COMPUTED_VALUE"""),"P003")</f>
        <v>P003</v>
      </c>
      <c r="C29" s="18">
        <f>IFERROR(__xludf.DUMMYFUNCTION("""COMPUTED_VALUE"""),15.0)</f>
        <v>15</v>
      </c>
      <c r="D29" s="18" t="str">
        <f>IFERROR(__xludf.DUMMYFUNCTION("""COMPUTED_VALUE"""),"Female")</f>
        <v>Female</v>
      </c>
      <c r="E29" s="18" t="str">
        <f>IFERROR(__xludf.DUMMYFUNCTION("""COMPUTED_VALUE"""),"O+")</f>
        <v>O+</v>
      </c>
    </row>
    <row r="30">
      <c r="A30" s="18">
        <f t="shared" si="1"/>
        <v>29</v>
      </c>
      <c r="B30" s="18" t="str">
        <f>IFERROR(__xludf.DUMMYFUNCTION("""COMPUTED_VALUE"""),"P004")</f>
        <v>P004</v>
      </c>
      <c r="C30" s="18">
        <f>IFERROR(__xludf.DUMMYFUNCTION("""COMPUTED_VALUE"""),16.0)</f>
        <v>16</v>
      </c>
      <c r="D30" s="18" t="str">
        <f>IFERROR(__xludf.DUMMYFUNCTION("""COMPUTED_VALUE"""),"Female")</f>
        <v>Female</v>
      </c>
      <c r="E30" s="18"/>
    </row>
    <row r="31">
      <c r="A31" s="18">
        <f t="shared" si="1"/>
        <v>30</v>
      </c>
      <c r="B31" s="18" t="str">
        <f>IFERROR(__xludf.DUMMYFUNCTION("""COMPUTED_VALUE"""),"P009")</f>
        <v>P009</v>
      </c>
      <c r="C31" s="18">
        <f>IFERROR(__xludf.DUMMYFUNCTION("""COMPUTED_VALUE"""),17.0)</f>
        <v>17</v>
      </c>
      <c r="D31" s="18" t="str">
        <f>IFERROR(__xludf.DUMMYFUNCTION("""COMPUTED_VALUE"""),"Male")</f>
        <v>Male</v>
      </c>
      <c r="E31" s="18"/>
    </row>
    <row r="32">
      <c r="A32" s="18">
        <f t="shared" si="1"/>
        <v>31</v>
      </c>
      <c r="B32" s="18" t="str">
        <f>IFERROR(__xludf.DUMMYFUNCTION("""COMPUTED_VALUE"""),"P010")</f>
        <v>P010</v>
      </c>
      <c r="C32" s="18">
        <f>IFERROR(__xludf.DUMMYFUNCTION("""COMPUTED_VALUE"""),15.0)</f>
        <v>15</v>
      </c>
      <c r="D32" s="18" t="str">
        <f>IFERROR(__xludf.DUMMYFUNCTION("""COMPUTED_VALUE"""),"Male")</f>
        <v>Male</v>
      </c>
      <c r="E32" s="18"/>
    </row>
    <row r="33">
      <c r="A33" s="18">
        <f t="shared" si="1"/>
        <v>32</v>
      </c>
      <c r="B33" s="18" t="str">
        <f>IFERROR(__xludf.DUMMYFUNCTION("""COMPUTED_VALUE"""),"P011")</f>
        <v>P011</v>
      </c>
      <c r="C33" s="18">
        <f>IFERROR(__xludf.DUMMYFUNCTION("""COMPUTED_VALUE"""),15.0)</f>
        <v>15</v>
      </c>
      <c r="D33" s="18" t="str">
        <f>IFERROR(__xludf.DUMMYFUNCTION("""COMPUTED_VALUE"""),"Male")</f>
        <v>Male</v>
      </c>
      <c r="E33" s="18"/>
    </row>
    <row r="34">
      <c r="A34" s="18">
        <f t="shared" si="1"/>
        <v>33</v>
      </c>
      <c r="B34" s="18" t="str">
        <f>IFERROR(__xludf.DUMMYFUNCTION("""COMPUTED_VALUE"""),"P012")</f>
        <v>P012</v>
      </c>
      <c r="C34" s="18">
        <f>IFERROR(__xludf.DUMMYFUNCTION("""COMPUTED_VALUE"""),15.0)</f>
        <v>15</v>
      </c>
      <c r="D34" s="18" t="str">
        <f>IFERROR(__xludf.DUMMYFUNCTION("""COMPUTED_VALUE"""),"Female")</f>
        <v>Female</v>
      </c>
      <c r="E34" s="18" t="str">
        <f>IFERROR(__xludf.DUMMYFUNCTION("""COMPUTED_VALUE"""),"O+")</f>
        <v>O+</v>
      </c>
    </row>
    <row r="35">
      <c r="A35" s="18">
        <f t="shared" si="1"/>
        <v>34</v>
      </c>
      <c r="B35" s="18" t="str">
        <f>IFERROR(__xludf.DUMMYFUNCTION("""COMPUTED_VALUE"""),"P013")</f>
        <v>P013</v>
      </c>
      <c r="C35" s="18">
        <f>IFERROR(__xludf.DUMMYFUNCTION("""COMPUTED_VALUE"""),8.0)</f>
        <v>8</v>
      </c>
      <c r="D35" s="18" t="str">
        <f>IFERROR(__xludf.DUMMYFUNCTION("""COMPUTED_VALUE"""),"Male")</f>
        <v>Male</v>
      </c>
      <c r="E35" s="18"/>
    </row>
    <row r="36">
      <c r="A36" s="18">
        <f t="shared" si="1"/>
        <v>35</v>
      </c>
      <c r="B36" s="18" t="str">
        <f>IFERROR(__xludf.DUMMYFUNCTION("""COMPUTED_VALUE"""),"P014")</f>
        <v>P014</v>
      </c>
      <c r="C36" s="18">
        <f>IFERROR(__xludf.DUMMYFUNCTION("""COMPUTED_VALUE"""),17.0)</f>
        <v>17</v>
      </c>
      <c r="D36" s="18" t="str">
        <f>IFERROR(__xludf.DUMMYFUNCTION("""COMPUTED_VALUE"""),"Male")</f>
        <v>Male</v>
      </c>
      <c r="E36" s="18"/>
    </row>
    <row r="37">
      <c r="A37" s="18">
        <f t="shared" si="1"/>
        <v>36</v>
      </c>
      <c r="B37" s="18" t="str">
        <f>IFERROR(__xludf.DUMMYFUNCTION("""COMPUTED_VALUE"""),"P015")</f>
        <v>P015</v>
      </c>
      <c r="C37" s="18">
        <f>IFERROR(__xludf.DUMMYFUNCTION("""COMPUTED_VALUE"""),9.0)</f>
        <v>9</v>
      </c>
      <c r="D37" s="18" t="str">
        <f>IFERROR(__xludf.DUMMYFUNCTION("""COMPUTED_VALUE"""),"Female")</f>
        <v>Female</v>
      </c>
      <c r="E37" s="18"/>
    </row>
    <row r="38">
      <c r="A38" s="18">
        <f t="shared" si="1"/>
        <v>37</v>
      </c>
      <c r="B38" s="18" t="str">
        <f>IFERROR(__xludf.DUMMYFUNCTION("""COMPUTED_VALUE"""),"P016")</f>
        <v>P016</v>
      </c>
      <c r="C38" s="18">
        <f>IFERROR(__xludf.DUMMYFUNCTION("""COMPUTED_VALUE"""),12.0)</f>
        <v>12</v>
      </c>
      <c r="D38" s="18" t="str">
        <f>IFERROR(__xludf.DUMMYFUNCTION("""COMPUTED_VALUE"""),"Male")</f>
        <v>Male</v>
      </c>
      <c r="E38" s="18"/>
    </row>
    <row r="39">
      <c r="A39" s="18">
        <f t="shared" si="1"/>
        <v>38</v>
      </c>
      <c r="B39" s="18" t="str">
        <f>IFERROR(__xludf.DUMMYFUNCTION("""COMPUTED_VALUE"""),"P017")</f>
        <v>P017</v>
      </c>
      <c r="C39" s="18">
        <f>IFERROR(__xludf.DUMMYFUNCTION("""COMPUTED_VALUE"""),7.0)</f>
        <v>7</v>
      </c>
      <c r="D39" s="18" t="str">
        <f>IFERROR(__xludf.DUMMYFUNCTION("""COMPUTED_VALUE"""),"Male")</f>
        <v>Male</v>
      </c>
      <c r="E39" s="18"/>
    </row>
    <row r="40">
      <c r="A40" s="18">
        <f t="shared" si="1"/>
        <v>39</v>
      </c>
      <c r="B40" s="18" t="str">
        <f>IFERROR(__xludf.DUMMYFUNCTION("""COMPUTED_VALUE"""),"P018")</f>
        <v>P018</v>
      </c>
      <c r="C40" s="18">
        <f>IFERROR(__xludf.DUMMYFUNCTION("""COMPUTED_VALUE"""),7.0)</f>
        <v>7</v>
      </c>
      <c r="D40" s="18" t="str">
        <f>IFERROR(__xludf.DUMMYFUNCTION("""COMPUTED_VALUE"""),"Male")</f>
        <v>Male</v>
      </c>
      <c r="E40" s="18"/>
    </row>
    <row r="41">
      <c r="A41" s="18">
        <f t="shared" si="1"/>
        <v>40</v>
      </c>
      <c r="B41" s="18" t="str">
        <f>IFERROR(__xludf.DUMMYFUNCTION("""COMPUTED_VALUE"""),"P019")</f>
        <v>P019</v>
      </c>
      <c r="C41" s="18">
        <f>IFERROR(__xludf.DUMMYFUNCTION("""COMPUTED_VALUE"""),18.0)</f>
        <v>18</v>
      </c>
      <c r="D41" s="18" t="str">
        <f>IFERROR(__xludf.DUMMYFUNCTION("""COMPUTED_VALUE"""),"Male")</f>
        <v>Male</v>
      </c>
      <c r="E41" s="18"/>
    </row>
    <row r="42">
      <c r="A42" s="18">
        <f t="shared" si="1"/>
        <v>41</v>
      </c>
      <c r="B42" s="18" t="str">
        <f>IFERROR(__xludf.DUMMYFUNCTION("""COMPUTED_VALUE"""),"P022")</f>
        <v>P022</v>
      </c>
      <c r="C42" s="18">
        <f>IFERROR(__xludf.DUMMYFUNCTION("""COMPUTED_VALUE"""),41.0)</f>
        <v>41</v>
      </c>
      <c r="D42" s="18" t="str">
        <f>IFERROR(__xludf.DUMMYFUNCTION("""COMPUTED_VALUE"""),"Male")</f>
        <v>Male</v>
      </c>
      <c r="E42" s="18" t="str">
        <f>IFERROR(__xludf.DUMMYFUNCTION("""COMPUTED_VALUE"""),"B+")</f>
        <v>B+</v>
      </c>
    </row>
    <row r="43">
      <c r="A43" s="18">
        <f t="shared" si="1"/>
        <v>42</v>
      </c>
      <c r="B43" s="18" t="str">
        <f>IFERROR(__xludf.DUMMYFUNCTION("""COMPUTED_VALUE"""),"P023")</f>
        <v>P023</v>
      </c>
      <c r="C43" s="18">
        <f>IFERROR(__xludf.DUMMYFUNCTION("""COMPUTED_VALUE"""),45.0)</f>
        <v>45</v>
      </c>
      <c r="D43" s="18" t="str">
        <f>IFERROR(__xludf.DUMMYFUNCTION("""COMPUTED_VALUE"""),"Male")</f>
        <v>Male</v>
      </c>
      <c r="E43" s="18" t="str">
        <f>IFERROR(__xludf.DUMMYFUNCTION("""COMPUTED_VALUE"""),"O+")</f>
        <v>O+</v>
      </c>
    </row>
    <row r="44">
      <c r="A44" s="18">
        <f t="shared" si="1"/>
        <v>43</v>
      </c>
      <c r="B44" s="18" t="str">
        <f>IFERROR(__xludf.DUMMYFUNCTION("""COMPUTED_VALUE"""),"P024")</f>
        <v>P024</v>
      </c>
      <c r="C44" s="18">
        <f>IFERROR(__xludf.DUMMYFUNCTION("""COMPUTED_VALUE"""),36.0)</f>
        <v>36</v>
      </c>
      <c r="D44" s="18" t="str">
        <f>IFERROR(__xludf.DUMMYFUNCTION("""COMPUTED_VALUE"""),"Male")</f>
        <v>Male</v>
      </c>
      <c r="E44" s="18"/>
    </row>
    <row r="45">
      <c r="A45" s="18">
        <f t="shared" si="1"/>
        <v>44</v>
      </c>
      <c r="B45" s="18" t="str">
        <f>IFERROR(__xludf.DUMMYFUNCTION("""COMPUTED_VALUE"""),"P026")</f>
        <v>P026</v>
      </c>
      <c r="C45" s="18">
        <f>IFERROR(__xludf.DUMMYFUNCTION("""COMPUTED_VALUE"""),50.0)</f>
        <v>50</v>
      </c>
      <c r="D45" s="18" t="str">
        <f>IFERROR(__xludf.DUMMYFUNCTION("""COMPUTED_VALUE"""),"Male")</f>
        <v>Male</v>
      </c>
      <c r="E45" s="18"/>
    </row>
    <row r="46">
      <c r="A46" s="18">
        <f t="shared" si="1"/>
        <v>45</v>
      </c>
      <c r="B46" s="18" t="str">
        <f>IFERROR(__xludf.DUMMYFUNCTION("""COMPUTED_VALUE"""),"P028")</f>
        <v>P028</v>
      </c>
      <c r="C46" s="18">
        <f>IFERROR(__xludf.DUMMYFUNCTION("""COMPUTED_VALUE"""),27.0)</f>
        <v>27</v>
      </c>
      <c r="D46" s="18" t="str">
        <f>IFERROR(__xludf.DUMMYFUNCTION("""COMPUTED_VALUE"""),"Female")</f>
        <v>Female</v>
      </c>
      <c r="E46" s="18" t="str">
        <f>IFERROR(__xludf.DUMMYFUNCTION("""COMPUTED_VALUE"""),"B+")</f>
        <v>B+</v>
      </c>
    </row>
    <row r="47">
      <c r="A47" s="18">
        <f t="shared" si="1"/>
        <v>46</v>
      </c>
      <c r="B47" s="18" t="str">
        <f>IFERROR(__xludf.DUMMYFUNCTION("""COMPUTED_VALUE"""),"P029")</f>
        <v>P029</v>
      </c>
      <c r="C47" s="18">
        <f>IFERROR(__xludf.DUMMYFUNCTION("""COMPUTED_VALUE"""),31.0)</f>
        <v>31</v>
      </c>
      <c r="D47" s="18" t="str">
        <f>IFERROR(__xludf.DUMMYFUNCTION("""COMPUTED_VALUE"""),"Male")</f>
        <v>Male</v>
      </c>
      <c r="E47" s="18"/>
    </row>
    <row r="48">
      <c r="A48" s="18">
        <f t="shared" si="1"/>
        <v>47</v>
      </c>
      <c r="B48" s="18" t="str">
        <f>IFERROR(__xludf.DUMMYFUNCTION("""COMPUTED_VALUE"""),"P030")</f>
        <v>P030</v>
      </c>
      <c r="C48" s="18">
        <f>IFERROR(__xludf.DUMMYFUNCTION("""COMPUTED_VALUE"""),19.0)</f>
        <v>19</v>
      </c>
      <c r="D48" s="18" t="str">
        <f>IFERROR(__xludf.DUMMYFUNCTION("""COMPUTED_VALUE"""),"Male")</f>
        <v>Male</v>
      </c>
      <c r="E48" s="18" t="str">
        <f>IFERROR(__xludf.DUMMYFUNCTION("""COMPUTED_VALUE"""),"O+")</f>
        <v>O+</v>
      </c>
    </row>
    <row r="49">
      <c r="A49" s="18">
        <f t="shared" si="1"/>
        <v>48</v>
      </c>
      <c r="B49" s="18" t="str">
        <f>IFERROR(__xludf.DUMMYFUNCTION("""COMPUTED_VALUE"""),"P031")</f>
        <v>P031</v>
      </c>
      <c r="C49" s="18">
        <f>IFERROR(__xludf.DUMMYFUNCTION("""COMPUTED_VALUE"""),27.0)</f>
        <v>27</v>
      </c>
      <c r="D49" s="18" t="str">
        <f>IFERROR(__xludf.DUMMYFUNCTION("""COMPUTED_VALUE"""),"Male")</f>
        <v>Male</v>
      </c>
      <c r="E49" s="18"/>
    </row>
    <row r="50">
      <c r="A50" s="18">
        <f t="shared" si="1"/>
        <v>49</v>
      </c>
      <c r="B50" s="18" t="str">
        <f>IFERROR(__xludf.DUMMYFUNCTION("""COMPUTED_VALUE"""),"P034")</f>
        <v>P034</v>
      </c>
      <c r="C50" s="18">
        <f>IFERROR(__xludf.DUMMYFUNCTION("""COMPUTED_VALUE"""),26.0)</f>
        <v>26</v>
      </c>
      <c r="D50" s="18" t="str">
        <f>IFERROR(__xludf.DUMMYFUNCTION("""COMPUTED_VALUE"""),"Male")</f>
        <v>Male</v>
      </c>
      <c r="E50" s="18"/>
    </row>
    <row r="51">
      <c r="A51" s="18">
        <f t="shared" si="1"/>
        <v>50</v>
      </c>
      <c r="B51" s="18" t="str">
        <f>IFERROR(__xludf.DUMMYFUNCTION("""COMPUTED_VALUE"""),"P035")</f>
        <v>P035</v>
      </c>
      <c r="C51" s="18">
        <f>IFERROR(__xludf.DUMMYFUNCTION("""COMPUTED_VALUE"""),38.0)</f>
        <v>38</v>
      </c>
      <c r="D51" s="18" t="str">
        <f>IFERROR(__xludf.DUMMYFUNCTION("""COMPUTED_VALUE"""),"Male")</f>
        <v>Male</v>
      </c>
      <c r="E51" s="18"/>
    </row>
    <row r="52">
      <c r="A52" s="18">
        <f t="shared" si="1"/>
        <v>51</v>
      </c>
      <c r="B52" s="18" t="str">
        <f>IFERROR(__xludf.DUMMYFUNCTION("""COMPUTED_VALUE"""),"P037")</f>
        <v>P037</v>
      </c>
      <c r="C52" s="18">
        <f>IFERROR(__xludf.DUMMYFUNCTION("""COMPUTED_VALUE"""),24.0)</f>
        <v>24</v>
      </c>
      <c r="D52" s="18" t="str">
        <f>IFERROR(__xludf.DUMMYFUNCTION("""COMPUTED_VALUE"""),"Male")</f>
        <v>Male</v>
      </c>
      <c r="E52" s="18"/>
    </row>
    <row r="53">
      <c r="A53" s="18">
        <f t="shared" si="1"/>
        <v>52</v>
      </c>
      <c r="B53" s="18" t="str">
        <f>IFERROR(__xludf.DUMMYFUNCTION("""COMPUTED_VALUE"""),"P038")</f>
        <v>P038</v>
      </c>
      <c r="C53" s="18">
        <f>IFERROR(__xludf.DUMMYFUNCTION("""COMPUTED_VALUE"""),19.0)</f>
        <v>19</v>
      </c>
      <c r="D53" s="18" t="str">
        <f>IFERROR(__xludf.DUMMYFUNCTION("""COMPUTED_VALUE"""),"Male")</f>
        <v>Male</v>
      </c>
      <c r="E53" s="18"/>
    </row>
    <row r="54">
      <c r="A54" s="18">
        <f t="shared" si="1"/>
        <v>53</v>
      </c>
      <c r="B54" s="18" t="str">
        <f>IFERROR(__xludf.DUMMYFUNCTION("""COMPUTED_VALUE"""),"P039")</f>
        <v>P039</v>
      </c>
      <c r="C54" s="18">
        <f>IFERROR(__xludf.DUMMYFUNCTION("""COMPUTED_VALUE"""),42.0)</f>
        <v>42</v>
      </c>
      <c r="D54" s="18" t="str">
        <f>IFERROR(__xludf.DUMMYFUNCTION("""COMPUTED_VALUE"""),"Male")</f>
        <v>Male</v>
      </c>
      <c r="E54" s="18"/>
    </row>
    <row r="55">
      <c r="A55" s="18">
        <f t="shared" si="1"/>
        <v>54</v>
      </c>
      <c r="B55" s="18" t="str">
        <f>IFERROR(__xludf.DUMMYFUNCTION("""COMPUTED_VALUE"""),"P040")</f>
        <v>P040</v>
      </c>
      <c r="C55" s="18">
        <f>IFERROR(__xludf.DUMMYFUNCTION("""COMPUTED_VALUE"""),18.0)</f>
        <v>18</v>
      </c>
      <c r="D55" s="18" t="str">
        <f>IFERROR(__xludf.DUMMYFUNCTION("""COMPUTED_VALUE"""),"Female")</f>
        <v>Female</v>
      </c>
      <c r="E55" s="18"/>
    </row>
    <row r="56">
      <c r="A56" s="18">
        <f t="shared" si="1"/>
        <v>55</v>
      </c>
      <c r="B56" s="18" t="str">
        <f>IFERROR(__xludf.DUMMYFUNCTION("""COMPUTED_VALUE"""),"P041")</f>
        <v>P041</v>
      </c>
      <c r="C56" s="18">
        <f>IFERROR(__xludf.DUMMYFUNCTION("""COMPUTED_VALUE"""),20.0)</f>
        <v>20</v>
      </c>
      <c r="D56" s="18" t="str">
        <f>IFERROR(__xludf.DUMMYFUNCTION("""COMPUTED_VALUE"""),"Male")</f>
        <v>Male</v>
      </c>
      <c r="E56" s="18"/>
    </row>
    <row r="57">
      <c r="A57" s="18">
        <f t="shared" si="1"/>
        <v>56</v>
      </c>
      <c r="B57" s="18" t="str">
        <f>IFERROR(__xludf.DUMMYFUNCTION("""COMPUTED_VALUE"""),"P042")</f>
        <v>P042</v>
      </c>
      <c r="C57" s="18">
        <f>IFERROR(__xludf.DUMMYFUNCTION("""COMPUTED_VALUE"""),34.0)</f>
        <v>34</v>
      </c>
      <c r="D57" s="18" t="str">
        <f>IFERROR(__xludf.DUMMYFUNCTION("""COMPUTED_VALUE"""),"Male")</f>
        <v>Male</v>
      </c>
      <c r="E57" s="18" t="str">
        <f>IFERROR(__xludf.DUMMYFUNCTION("""COMPUTED_VALUE"""),"A+")</f>
        <v>A+</v>
      </c>
    </row>
    <row r="58">
      <c r="A58" s="18">
        <f t="shared" si="1"/>
        <v>57</v>
      </c>
      <c r="B58" s="18" t="str">
        <f>IFERROR(__xludf.DUMMYFUNCTION("""COMPUTED_VALUE"""),"P043")</f>
        <v>P043</v>
      </c>
      <c r="C58" s="18"/>
      <c r="D58" s="18" t="str">
        <f>IFERROR(__xludf.DUMMYFUNCTION("""COMPUTED_VALUE"""),"Male")</f>
        <v>Male</v>
      </c>
      <c r="E58" s="18"/>
    </row>
    <row r="59">
      <c r="A59" s="18">
        <f t="shared" si="1"/>
        <v>58</v>
      </c>
      <c r="B59" s="18" t="str">
        <f>IFERROR(__xludf.DUMMYFUNCTION("""COMPUTED_VALUE"""),"P026")</f>
        <v>P026</v>
      </c>
      <c r="C59" s="18">
        <f>IFERROR(__xludf.DUMMYFUNCTION("""COMPUTED_VALUE"""),50.0)</f>
        <v>50</v>
      </c>
      <c r="D59" s="18" t="str">
        <f>IFERROR(__xludf.DUMMYFUNCTION("""COMPUTED_VALUE"""),"Male")</f>
        <v>Male</v>
      </c>
      <c r="E59" s="18" t="str">
        <f>IFERROR(__xludf.DUMMYFUNCTION("""COMPUTED_VALUE"""),"O+")</f>
        <v>O+</v>
      </c>
    </row>
    <row r="60">
      <c r="A60" s="18">
        <f t="shared" si="1"/>
        <v>59</v>
      </c>
      <c r="B60" s="18" t="str">
        <f>IFERROR(__xludf.DUMMYFUNCTION("""COMPUTED_VALUE"""),"P044")</f>
        <v>P044</v>
      </c>
      <c r="C60" s="18"/>
      <c r="D60" s="18" t="str">
        <f>IFERROR(__xludf.DUMMYFUNCTION("""COMPUTED_VALUE"""),"Male")</f>
        <v>Male</v>
      </c>
      <c r="E60" s="18"/>
    </row>
    <row r="61">
      <c r="A61" s="18">
        <f t="shared" si="1"/>
        <v>60</v>
      </c>
      <c r="B61" s="18" t="str">
        <f>IFERROR(__xludf.DUMMYFUNCTION("""COMPUTED_VALUE"""),"P045")</f>
        <v>P045</v>
      </c>
      <c r="C61" s="18"/>
      <c r="D61" s="18" t="str">
        <f>IFERROR(__xludf.DUMMYFUNCTION("""COMPUTED_VALUE"""),"Male")</f>
        <v>Male</v>
      </c>
      <c r="E61" s="18"/>
    </row>
    <row r="62">
      <c r="A62" s="18">
        <f t="shared" si="1"/>
        <v>61</v>
      </c>
      <c r="B62" s="18" t="str">
        <f>IFERROR(__xludf.DUMMYFUNCTION("""COMPUTED_VALUE"""),"P046")</f>
        <v>P046</v>
      </c>
      <c r="C62" s="18">
        <f>IFERROR(__xludf.DUMMYFUNCTION("""COMPUTED_VALUE"""),40.0)</f>
        <v>40</v>
      </c>
      <c r="D62" s="18" t="str">
        <f>IFERROR(__xludf.DUMMYFUNCTION("""COMPUTED_VALUE"""),"Male")</f>
        <v>Male</v>
      </c>
      <c r="E62" s="18" t="str">
        <f>IFERROR(__xludf.DUMMYFUNCTION("""COMPUTED_VALUE"""),"B+")</f>
        <v>B+</v>
      </c>
    </row>
    <row r="63">
      <c r="A63" s="18">
        <f t="shared" si="1"/>
        <v>62</v>
      </c>
    </row>
    <row r="64">
      <c r="A64" s="18">
        <f t="shared" si="1"/>
        <v>63</v>
      </c>
    </row>
    <row r="65">
      <c r="A65" s="18">
        <f t="shared" si="1"/>
        <v>64</v>
      </c>
    </row>
    <row r="66">
      <c r="A66" s="18">
        <f t="shared" si="1"/>
        <v>65</v>
      </c>
    </row>
    <row r="67">
      <c r="A67" s="18">
        <f t="shared" si="1"/>
        <v>66</v>
      </c>
    </row>
    <row r="68">
      <c r="A68" s="18">
        <f t="shared" si="1"/>
        <v>67</v>
      </c>
    </row>
    <row r="69">
      <c r="A69" s="18">
        <f t="shared" si="1"/>
        <v>68</v>
      </c>
    </row>
    <row r="70">
      <c r="A70" s="18">
        <f t="shared" si="1"/>
        <v>69</v>
      </c>
    </row>
    <row r="71">
      <c r="A71" s="18">
        <f t="shared" si="1"/>
        <v>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13"/>
    <col customWidth="1" min="2" max="2" width="23.75"/>
    <col customWidth="1" min="3" max="3" width="7.0"/>
    <col customWidth="1" min="4" max="4" width="9.88"/>
    <col customWidth="1" min="5" max="5" width="9.25"/>
    <col customWidth="1" min="6" max="6" width="9.0"/>
    <col customWidth="1" min="7" max="7" width="10.0"/>
    <col customWidth="1" min="8" max="8" width="10.75"/>
    <col customWidth="1" min="9" max="9" width="11.5"/>
    <col customWidth="1" min="10" max="10" width="10.0"/>
    <col customWidth="1" min="11" max="11" width="10.75"/>
    <col customWidth="1" min="12" max="12" width="13.75"/>
    <col customWidth="1" min="13" max="13" width="7.63"/>
    <col customWidth="1" min="14" max="14" width="12.13"/>
    <col customWidth="1" min="15" max="15" width="10.38"/>
    <col customWidth="1" min="16" max="16" width="10.75"/>
  </cols>
  <sheetData>
    <row r="1" ht="33.0" customHeight="1">
      <c r="A1" s="19" t="s">
        <v>81</v>
      </c>
      <c r="B1" s="19" t="s">
        <v>3</v>
      </c>
      <c r="C1" s="19" t="s">
        <v>4</v>
      </c>
      <c r="D1" s="19" t="s">
        <v>5</v>
      </c>
      <c r="E1" s="19" t="s">
        <v>82</v>
      </c>
      <c r="F1" s="19" t="s">
        <v>6</v>
      </c>
      <c r="G1" s="20" t="s">
        <v>83</v>
      </c>
      <c r="H1" s="20" t="s">
        <v>84</v>
      </c>
      <c r="I1" s="20" t="s">
        <v>85</v>
      </c>
      <c r="J1" s="20" t="s">
        <v>86</v>
      </c>
      <c r="K1" s="20" t="s">
        <v>87</v>
      </c>
      <c r="L1" s="20" t="s">
        <v>88</v>
      </c>
      <c r="M1" s="20" t="s">
        <v>89</v>
      </c>
      <c r="N1" s="20" t="s">
        <v>90</v>
      </c>
      <c r="O1" s="20" t="s">
        <v>91</v>
      </c>
      <c r="P1" s="20" t="s">
        <v>92</v>
      </c>
      <c r="Q1" s="21"/>
      <c r="R1" s="21"/>
      <c r="S1" s="21"/>
      <c r="T1" s="21"/>
    </row>
    <row r="2" ht="18.75" customHeight="1">
      <c r="A2" s="22">
        <f t="shared" ref="A2:A44" si="1">ROW(A1)</f>
        <v>1</v>
      </c>
      <c r="B2" s="23" t="s">
        <v>53</v>
      </c>
      <c r="C2" s="24">
        <f>VLOOKUP(B2, 'Consolidated Sheet'!B:C, 2, FALSE)</f>
        <v>7</v>
      </c>
      <c r="D2" s="25" t="s">
        <v>13</v>
      </c>
      <c r="E2" s="23" t="s">
        <v>93</v>
      </c>
      <c r="F2" s="24" t="str">
        <f>VLOOKUP(B2, 'Consolidated Sheet'!B:E, 4, FALSE)</f>
        <v/>
      </c>
      <c r="G2" s="26" t="b">
        <v>1</v>
      </c>
      <c r="H2" s="26" t="b">
        <v>1</v>
      </c>
      <c r="I2" s="26" t="b">
        <v>0</v>
      </c>
      <c r="J2" s="27" t="b">
        <v>0</v>
      </c>
      <c r="K2" s="27" t="b">
        <v>0</v>
      </c>
      <c r="L2" s="27" t="b">
        <v>0</v>
      </c>
      <c r="M2" s="28">
        <f t="shared" ref="M2:M44" si="2">COUNTIF(G2:L2, TRUE) * 100</f>
        <v>200</v>
      </c>
      <c r="N2" s="25" t="s">
        <v>14</v>
      </c>
      <c r="O2" s="29">
        <v>200.0</v>
      </c>
      <c r="P2" s="28">
        <f t="shared" ref="P2:P44" si="3">M2-O2</f>
        <v>0</v>
      </c>
      <c r="Q2" s="21"/>
      <c r="R2" s="21"/>
      <c r="S2" s="21"/>
      <c r="T2" s="21"/>
    </row>
    <row r="3" ht="18.75" customHeight="1">
      <c r="A3" s="22">
        <f t="shared" si="1"/>
        <v>2</v>
      </c>
      <c r="B3" s="23" t="s">
        <v>43</v>
      </c>
      <c r="C3" s="24">
        <f>VLOOKUP(B3, 'Consolidated Sheet'!B:C, 2, FALSE)</f>
        <v>8</v>
      </c>
      <c r="D3" s="25" t="s">
        <v>13</v>
      </c>
      <c r="E3" s="25" t="s">
        <v>94</v>
      </c>
      <c r="F3" s="24" t="str">
        <f>VLOOKUP(B3, 'Consolidated Sheet'!B:E, 4, FALSE)</f>
        <v/>
      </c>
      <c r="G3" s="26" t="b">
        <v>1</v>
      </c>
      <c r="H3" s="26" t="b">
        <v>1</v>
      </c>
      <c r="I3" s="27" t="b">
        <v>0</v>
      </c>
      <c r="J3" s="27" t="b">
        <v>0</v>
      </c>
      <c r="K3" s="27" t="b">
        <v>0</v>
      </c>
      <c r="L3" s="27" t="b">
        <v>0</v>
      </c>
      <c r="M3" s="28">
        <f t="shared" si="2"/>
        <v>200</v>
      </c>
      <c r="N3" s="25" t="s">
        <v>95</v>
      </c>
      <c r="O3" s="29">
        <v>200.0</v>
      </c>
      <c r="P3" s="28">
        <f t="shared" si="3"/>
        <v>0</v>
      </c>
      <c r="Q3" s="21"/>
      <c r="R3" s="21"/>
      <c r="S3" s="21"/>
      <c r="T3" s="21"/>
    </row>
    <row r="4" ht="18.75" customHeight="1">
      <c r="A4" s="22">
        <f t="shared" si="1"/>
        <v>3</v>
      </c>
      <c r="B4" s="23" t="s">
        <v>47</v>
      </c>
      <c r="C4" s="24">
        <f>VLOOKUP(B4, 'Consolidated Sheet'!B:C, 2, FALSE)</f>
        <v>9</v>
      </c>
      <c r="D4" s="25" t="s">
        <v>20</v>
      </c>
      <c r="E4" s="23" t="s">
        <v>93</v>
      </c>
      <c r="F4" s="24" t="str">
        <f>VLOOKUP(B4, 'Consolidated Sheet'!B:E, 4, FALSE)</f>
        <v/>
      </c>
      <c r="G4" s="26" t="b">
        <v>1</v>
      </c>
      <c r="H4" s="27" t="b">
        <v>0</v>
      </c>
      <c r="I4" s="27" t="b">
        <v>0</v>
      </c>
      <c r="J4" s="27" t="b">
        <v>0</v>
      </c>
      <c r="K4" s="27" t="b">
        <v>0</v>
      </c>
      <c r="L4" s="27" t="b">
        <v>0</v>
      </c>
      <c r="M4" s="28">
        <f t="shared" si="2"/>
        <v>100</v>
      </c>
      <c r="N4" s="25" t="s">
        <v>14</v>
      </c>
      <c r="O4" s="29">
        <v>100.0</v>
      </c>
      <c r="P4" s="28">
        <f t="shared" si="3"/>
        <v>0</v>
      </c>
      <c r="Q4" s="21"/>
      <c r="R4" s="21"/>
      <c r="S4" s="21"/>
      <c r="T4" s="21"/>
    </row>
    <row r="5" ht="18.75" customHeight="1">
      <c r="A5" s="22">
        <f t="shared" si="1"/>
        <v>4</v>
      </c>
      <c r="B5" s="23" t="s">
        <v>16</v>
      </c>
      <c r="C5" s="24">
        <f>VLOOKUP(B5, 'Consolidated Sheet'!B:C, 2, FALSE)</f>
        <v>10</v>
      </c>
      <c r="D5" s="25" t="s">
        <v>13</v>
      </c>
      <c r="E5" s="23" t="s">
        <v>93</v>
      </c>
      <c r="F5" s="24" t="str">
        <f>VLOOKUP(B5, 'Consolidated Sheet'!B:E, 4, FALSE)</f>
        <v/>
      </c>
      <c r="G5" s="26" t="b">
        <v>1</v>
      </c>
      <c r="H5" s="26" t="b">
        <v>1</v>
      </c>
      <c r="I5" s="27" t="b">
        <v>0</v>
      </c>
      <c r="J5" s="27" t="b">
        <v>0</v>
      </c>
      <c r="K5" s="27" t="b">
        <v>0</v>
      </c>
      <c r="L5" s="27" t="b">
        <v>0</v>
      </c>
      <c r="M5" s="28">
        <f t="shared" si="2"/>
        <v>200</v>
      </c>
      <c r="N5" s="25" t="s">
        <v>14</v>
      </c>
      <c r="O5" s="29">
        <v>200.0</v>
      </c>
      <c r="P5" s="28">
        <f t="shared" si="3"/>
        <v>0</v>
      </c>
      <c r="Q5" s="21"/>
      <c r="R5" s="21"/>
      <c r="S5" s="21"/>
      <c r="T5" s="21"/>
    </row>
    <row r="6" ht="18.75" customHeight="1">
      <c r="A6" s="22">
        <f t="shared" si="1"/>
        <v>5</v>
      </c>
      <c r="B6" s="23" t="s">
        <v>27</v>
      </c>
      <c r="C6" s="24">
        <f>VLOOKUP(B6, 'Consolidated Sheet'!B:C, 2, FALSE)</f>
        <v>12</v>
      </c>
      <c r="D6" s="25" t="s">
        <v>13</v>
      </c>
      <c r="E6" s="23" t="s">
        <v>96</v>
      </c>
      <c r="F6" s="24" t="str">
        <f>VLOOKUP(B6, 'Consolidated Sheet'!B:E, 4, FALSE)</f>
        <v>A+</v>
      </c>
      <c r="G6" s="26" t="b">
        <v>1</v>
      </c>
      <c r="H6" s="26" t="b">
        <v>0</v>
      </c>
      <c r="I6" s="27" t="b">
        <v>0</v>
      </c>
      <c r="J6" s="26" t="b">
        <v>1</v>
      </c>
      <c r="K6" s="26" t="b">
        <v>1</v>
      </c>
      <c r="L6" s="26" t="b">
        <v>1</v>
      </c>
      <c r="M6" s="28">
        <f t="shared" si="2"/>
        <v>400</v>
      </c>
      <c r="N6" s="25" t="s">
        <v>14</v>
      </c>
      <c r="O6" s="29">
        <v>400.0</v>
      </c>
      <c r="P6" s="28">
        <f t="shared" si="3"/>
        <v>0</v>
      </c>
      <c r="Q6" s="21"/>
      <c r="R6" s="21"/>
      <c r="S6" s="21"/>
      <c r="T6" s="21"/>
    </row>
    <row r="7" ht="18.75" customHeight="1">
      <c r="A7" s="22">
        <f t="shared" si="1"/>
        <v>6</v>
      </c>
      <c r="B7" s="23" t="s">
        <v>71</v>
      </c>
      <c r="C7" s="24">
        <f>VLOOKUP(B7, 'Consolidated Sheet'!B:C, 2, FALSE)</f>
        <v>12</v>
      </c>
      <c r="D7" s="25" t="s">
        <v>13</v>
      </c>
      <c r="E7" s="23" t="s">
        <v>93</v>
      </c>
      <c r="F7" s="24" t="str">
        <f>VLOOKUP(B7, 'Consolidated Sheet'!B:E, 4, FALSE)</f>
        <v>A-</v>
      </c>
      <c r="G7" s="26" t="b">
        <v>1</v>
      </c>
      <c r="H7" s="26" t="b">
        <v>0</v>
      </c>
      <c r="I7" s="27" t="b">
        <v>0</v>
      </c>
      <c r="J7" s="26" t="b">
        <v>1</v>
      </c>
      <c r="K7" s="26" t="b">
        <v>1</v>
      </c>
      <c r="L7" s="26" t="b">
        <v>1</v>
      </c>
      <c r="M7" s="28">
        <f t="shared" si="2"/>
        <v>400</v>
      </c>
      <c r="N7" s="25" t="s">
        <v>14</v>
      </c>
      <c r="O7" s="29">
        <v>400.0</v>
      </c>
      <c r="P7" s="28">
        <f t="shared" si="3"/>
        <v>0</v>
      </c>
      <c r="Q7" s="21"/>
      <c r="R7" s="21"/>
      <c r="S7" s="21"/>
      <c r="T7" s="21"/>
    </row>
    <row r="8" ht="18.75" customHeight="1">
      <c r="A8" s="22">
        <f t="shared" si="1"/>
        <v>7</v>
      </c>
      <c r="B8" s="23" t="s">
        <v>49</v>
      </c>
      <c r="C8" s="24">
        <v>12.0</v>
      </c>
      <c r="D8" s="25" t="s">
        <v>13</v>
      </c>
      <c r="E8" s="23" t="s">
        <v>93</v>
      </c>
      <c r="F8" s="24" t="str">
        <f>VLOOKUP(B8, 'Consolidated Sheet'!B:E, 4, FALSE)</f>
        <v/>
      </c>
      <c r="G8" s="26" t="b">
        <v>1</v>
      </c>
      <c r="H8" s="26" t="b">
        <v>0</v>
      </c>
      <c r="I8" s="27" t="b">
        <v>0</v>
      </c>
      <c r="J8" s="26" t="b">
        <v>1</v>
      </c>
      <c r="K8" s="26" t="b">
        <v>1</v>
      </c>
      <c r="L8" s="26" t="b">
        <v>0</v>
      </c>
      <c r="M8" s="28">
        <f t="shared" si="2"/>
        <v>300</v>
      </c>
      <c r="N8" s="25" t="s">
        <v>14</v>
      </c>
      <c r="O8" s="29">
        <v>300.0</v>
      </c>
      <c r="P8" s="28">
        <f t="shared" si="3"/>
        <v>0</v>
      </c>
      <c r="Q8" s="21"/>
      <c r="R8" s="21"/>
      <c r="S8" s="21"/>
      <c r="T8" s="21"/>
    </row>
    <row r="9" ht="18.75" customHeight="1">
      <c r="A9" s="22">
        <f t="shared" si="1"/>
        <v>8</v>
      </c>
      <c r="B9" s="23" t="s">
        <v>70</v>
      </c>
      <c r="C9" s="24">
        <v>13.0</v>
      </c>
      <c r="D9" s="25" t="s">
        <v>20</v>
      </c>
      <c r="E9" s="23" t="s">
        <v>96</v>
      </c>
      <c r="F9" s="24" t="str">
        <f>VLOOKUP(B9, 'Consolidated Sheet'!B:E, 4, FALSE)</f>
        <v>B+</v>
      </c>
      <c r="G9" s="26" t="b">
        <v>0</v>
      </c>
      <c r="H9" s="27" t="b">
        <v>0</v>
      </c>
      <c r="I9" s="27" t="b">
        <v>0</v>
      </c>
      <c r="J9" s="26" t="b">
        <v>0</v>
      </c>
      <c r="K9" s="27" t="b">
        <v>0</v>
      </c>
      <c r="L9" s="26" t="b">
        <v>1</v>
      </c>
      <c r="M9" s="28">
        <f t="shared" si="2"/>
        <v>100</v>
      </c>
      <c r="N9" s="25" t="s">
        <v>14</v>
      </c>
      <c r="O9" s="29">
        <v>100.0</v>
      </c>
      <c r="P9" s="28">
        <f t="shared" si="3"/>
        <v>0</v>
      </c>
      <c r="Q9" s="21"/>
      <c r="R9" s="21"/>
      <c r="S9" s="21"/>
      <c r="T9" s="21"/>
    </row>
    <row r="10" ht="18.75" customHeight="1">
      <c r="A10" s="22">
        <f t="shared" si="1"/>
        <v>9</v>
      </c>
      <c r="B10" s="23" t="s">
        <v>25</v>
      </c>
      <c r="C10" s="24">
        <f>VLOOKUP(B10, 'Consolidated Sheet'!B:C, 2, FALSE)</f>
        <v>15</v>
      </c>
      <c r="D10" s="25" t="s">
        <v>13</v>
      </c>
      <c r="E10" s="23" t="s">
        <v>96</v>
      </c>
      <c r="F10" s="24" t="str">
        <f>VLOOKUP(B10, 'Consolidated Sheet'!B:E, 4, FALSE)</f>
        <v>O+</v>
      </c>
      <c r="G10" s="26" t="b">
        <v>1</v>
      </c>
      <c r="H10" s="26" t="b">
        <v>0</v>
      </c>
      <c r="I10" s="27" t="b">
        <v>0</v>
      </c>
      <c r="J10" s="26" t="b">
        <v>1</v>
      </c>
      <c r="K10" s="26" t="b">
        <v>1</v>
      </c>
      <c r="L10" s="26" t="b">
        <v>1</v>
      </c>
      <c r="M10" s="28">
        <f t="shared" si="2"/>
        <v>400</v>
      </c>
      <c r="N10" s="25" t="s">
        <v>14</v>
      </c>
      <c r="O10" s="29">
        <v>400.0</v>
      </c>
      <c r="P10" s="28">
        <f t="shared" si="3"/>
        <v>0</v>
      </c>
      <c r="Q10" s="21"/>
      <c r="R10" s="21"/>
      <c r="S10" s="21"/>
      <c r="T10" s="21"/>
    </row>
    <row r="11" ht="18.75" customHeight="1">
      <c r="A11" s="22">
        <f t="shared" si="1"/>
        <v>10</v>
      </c>
      <c r="B11" s="23" t="s">
        <v>67</v>
      </c>
      <c r="C11" s="24">
        <f>VLOOKUP(B11, 'Consolidated Sheet'!B:C, 2, FALSE)</f>
        <v>15</v>
      </c>
      <c r="D11" s="25" t="s">
        <v>13</v>
      </c>
      <c r="E11" s="23" t="s">
        <v>96</v>
      </c>
      <c r="F11" s="24" t="str">
        <f>VLOOKUP(B11, 'Consolidated Sheet'!B:E, 4, FALSE)</f>
        <v>A+</v>
      </c>
      <c r="G11" s="27" t="b">
        <v>0</v>
      </c>
      <c r="H11" s="27" t="b">
        <v>0</v>
      </c>
      <c r="I11" s="27" t="b">
        <v>0</v>
      </c>
      <c r="J11" s="26" t="b">
        <v>1</v>
      </c>
      <c r="K11" s="26" t="b">
        <v>1</v>
      </c>
      <c r="L11" s="26" t="b">
        <v>1</v>
      </c>
      <c r="M11" s="28">
        <f t="shared" si="2"/>
        <v>300</v>
      </c>
      <c r="N11" s="25" t="s">
        <v>14</v>
      </c>
      <c r="O11" s="29">
        <v>300.0</v>
      </c>
      <c r="P11" s="28">
        <f t="shared" si="3"/>
        <v>0</v>
      </c>
      <c r="Q11" s="21"/>
      <c r="R11" s="21"/>
      <c r="S11" s="21"/>
      <c r="T11" s="21"/>
    </row>
    <row r="12" ht="18.75" customHeight="1">
      <c r="A12" s="22">
        <f t="shared" si="1"/>
        <v>11</v>
      </c>
      <c r="B12" s="23" t="s">
        <v>19</v>
      </c>
      <c r="C12" s="24">
        <f>VLOOKUP(B12, 'Consolidated Sheet'!B:C, 2, FALSE)</f>
        <v>15</v>
      </c>
      <c r="D12" s="25" t="s">
        <v>20</v>
      </c>
      <c r="E12" s="23" t="s">
        <v>93</v>
      </c>
      <c r="F12" s="24" t="str">
        <f>VLOOKUP(B12, 'Consolidated Sheet'!B:E, 4, FALSE)</f>
        <v>O+</v>
      </c>
      <c r="G12" s="26" t="b">
        <v>1</v>
      </c>
      <c r="H12" s="27" t="b">
        <v>0</v>
      </c>
      <c r="I12" s="27" t="b">
        <v>0</v>
      </c>
      <c r="J12" s="27" t="b">
        <v>0</v>
      </c>
      <c r="K12" s="27" t="b">
        <v>0</v>
      </c>
      <c r="L12" s="26" t="b">
        <v>1</v>
      </c>
      <c r="M12" s="28">
        <f t="shared" si="2"/>
        <v>200</v>
      </c>
      <c r="N12" s="25" t="s">
        <v>14</v>
      </c>
      <c r="O12" s="29">
        <v>200.0</v>
      </c>
      <c r="P12" s="28">
        <f t="shared" si="3"/>
        <v>0</v>
      </c>
      <c r="Q12" s="21"/>
      <c r="R12" s="21"/>
      <c r="S12" s="21"/>
      <c r="T12" s="21"/>
    </row>
    <row r="13" ht="18.75" customHeight="1">
      <c r="A13" s="22">
        <f t="shared" si="1"/>
        <v>12</v>
      </c>
      <c r="B13" s="23" t="s">
        <v>41</v>
      </c>
      <c r="C13" s="24">
        <f>VLOOKUP(B13, 'Consolidated Sheet'!B:C, 2, FALSE)</f>
        <v>15</v>
      </c>
      <c r="D13" s="25" t="s">
        <v>20</v>
      </c>
      <c r="E13" s="25" t="s">
        <v>94</v>
      </c>
      <c r="F13" s="24" t="str">
        <f>VLOOKUP(B13, 'Consolidated Sheet'!B:E, 4, FALSE)</f>
        <v>O+</v>
      </c>
      <c r="G13" s="26" t="b">
        <v>1</v>
      </c>
      <c r="H13" s="27" t="b">
        <v>0</v>
      </c>
      <c r="I13" s="27" t="b">
        <v>0</v>
      </c>
      <c r="J13" s="27" t="b">
        <v>0</v>
      </c>
      <c r="K13" s="27" t="b">
        <v>0</v>
      </c>
      <c r="L13" s="26" t="b">
        <v>1</v>
      </c>
      <c r="M13" s="28">
        <f t="shared" si="2"/>
        <v>200</v>
      </c>
      <c r="N13" s="25" t="s">
        <v>14</v>
      </c>
      <c r="O13" s="29">
        <v>200.0</v>
      </c>
      <c r="P13" s="28">
        <f t="shared" si="3"/>
        <v>0</v>
      </c>
      <c r="Q13" s="21"/>
      <c r="R13" s="21"/>
      <c r="S13" s="21"/>
      <c r="T13" s="21"/>
    </row>
    <row r="14" ht="18.75" customHeight="1">
      <c r="A14" s="22">
        <f t="shared" si="1"/>
        <v>13</v>
      </c>
      <c r="B14" s="23" t="s">
        <v>30</v>
      </c>
      <c r="C14" s="24">
        <f>VLOOKUP(B14, 'Consolidated Sheet'!B:C, 2, FALSE)</f>
        <v>16</v>
      </c>
      <c r="D14" s="23" t="s">
        <v>13</v>
      </c>
      <c r="E14" s="23" t="s">
        <v>93</v>
      </c>
      <c r="F14" s="24" t="str">
        <f>VLOOKUP(B14, 'Consolidated Sheet'!B:E, 4, FALSE)</f>
        <v/>
      </c>
      <c r="G14" s="26" t="b">
        <v>1</v>
      </c>
      <c r="H14" s="26" t="b">
        <v>0</v>
      </c>
      <c r="I14" s="27" t="b">
        <v>0</v>
      </c>
      <c r="J14" s="26" t="b">
        <v>1</v>
      </c>
      <c r="K14" s="26" t="b">
        <v>1</v>
      </c>
      <c r="L14" s="26" t="b">
        <v>0</v>
      </c>
      <c r="M14" s="28">
        <f t="shared" si="2"/>
        <v>300</v>
      </c>
      <c r="N14" s="25" t="s">
        <v>14</v>
      </c>
      <c r="O14" s="29">
        <v>300.0</v>
      </c>
      <c r="P14" s="28">
        <f t="shared" si="3"/>
        <v>0</v>
      </c>
      <c r="Q14" s="21"/>
      <c r="R14" s="21"/>
      <c r="S14" s="21"/>
      <c r="T14" s="21"/>
    </row>
    <row r="15" ht="18.75" customHeight="1">
      <c r="A15" s="22">
        <f t="shared" si="1"/>
        <v>14</v>
      </c>
      <c r="B15" s="23" t="s">
        <v>23</v>
      </c>
      <c r="C15" s="24">
        <f>VLOOKUP(B15, 'Consolidated Sheet'!B:C, 2, FALSE)</f>
        <v>16</v>
      </c>
      <c r="D15" s="25" t="s">
        <v>20</v>
      </c>
      <c r="E15" s="23" t="s">
        <v>93</v>
      </c>
      <c r="F15" s="24" t="str">
        <f>VLOOKUP(B15, 'Consolidated Sheet'!B:E, 4, FALSE)</f>
        <v/>
      </c>
      <c r="G15" s="26" t="b">
        <v>1</v>
      </c>
      <c r="H15" s="27" t="b">
        <v>0</v>
      </c>
      <c r="I15" s="27" t="b">
        <v>0</v>
      </c>
      <c r="J15" s="27" t="b">
        <v>0</v>
      </c>
      <c r="K15" s="27" t="b">
        <v>0</v>
      </c>
      <c r="L15" s="27" t="b">
        <v>0</v>
      </c>
      <c r="M15" s="28">
        <f t="shared" si="2"/>
        <v>100</v>
      </c>
      <c r="N15" s="25" t="s">
        <v>14</v>
      </c>
      <c r="O15" s="29">
        <v>100.0</v>
      </c>
      <c r="P15" s="28">
        <f t="shared" si="3"/>
        <v>0</v>
      </c>
      <c r="Q15" s="21"/>
      <c r="R15" s="21"/>
      <c r="S15" s="21"/>
      <c r="T15" s="21"/>
    </row>
    <row r="16" ht="18.75" customHeight="1">
      <c r="A16" s="22">
        <f t="shared" si="1"/>
        <v>15</v>
      </c>
      <c r="B16" s="23" t="s">
        <v>45</v>
      </c>
      <c r="C16" s="24">
        <v>17.0</v>
      </c>
      <c r="D16" s="25" t="s">
        <v>13</v>
      </c>
      <c r="E16" s="23" t="s">
        <v>96</v>
      </c>
      <c r="F16" s="24" t="str">
        <f>VLOOKUP(B16, 'Consolidated Sheet'!B:E, 4, FALSE)</f>
        <v/>
      </c>
      <c r="G16" s="26" t="b">
        <v>1</v>
      </c>
      <c r="H16" s="26" t="b">
        <v>1</v>
      </c>
      <c r="I16" s="27" t="b">
        <v>0</v>
      </c>
      <c r="J16" s="27" t="b">
        <v>0</v>
      </c>
      <c r="K16" s="27" t="b">
        <v>0</v>
      </c>
      <c r="L16" s="27" t="b">
        <v>0</v>
      </c>
      <c r="M16" s="28">
        <f t="shared" si="2"/>
        <v>200</v>
      </c>
      <c r="N16" s="25" t="s">
        <v>14</v>
      </c>
      <c r="O16" s="29">
        <v>200.0</v>
      </c>
      <c r="P16" s="28">
        <f t="shared" si="3"/>
        <v>0</v>
      </c>
      <c r="Q16" s="21"/>
      <c r="R16" s="21"/>
      <c r="S16" s="21"/>
      <c r="T16" s="21"/>
    </row>
    <row r="17" ht="18.75" customHeight="1">
      <c r="A17" s="22">
        <f t="shared" si="1"/>
        <v>16</v>
      </c>
      <c r="B17" s="23" t="s">
        <v>35</v>
      </c>
      <c r="C17" s="24">
        <f>VLOOKUP(B17, 'Consolidated Sheet'!B:C, 2, FALSE)</f>
        <v>17</v>
      </c>
      <c r="D17" s="25" t="s">
        <v>13</v>
      </c>
      <c r="E17" s="25" t="s">
        <v>94</v>
      </c>
      <c r="F17" s="24" t="str">
        <f>VLOOKUP(B17, 'Consolidated Sheet'!B:E, 4, FALSE)</f>
        <v/>
      </c>
      <c r="G17" s="26" t="b">
        <v>1</v>
      </c>
      <c r="H17" s="26" t="b">
        <v>0</v>
      </c>
      <c r="I17" s="27" t="b">
        <v>0</v>
      </c>
      <c r="J17" s="26" t="b">
        <v>1</v>
      </c>
      <c r="K17" s="26" t="b">
        <v>0</v>
      </c>
      <c r="L17" s="26" t="b">
        <v>1</v>
      </c>
      <c r="M17" s="28">
        <f t="shared" si="2"/>
        <v>300</v>
      </c>
      <c r="N17" s="25" t="s">
        <v>14</v>
      </c>
      <c r="O17" s="29">
        <v>300.0</v>
      </c>
      <c r="P17" s="28">
        <f t="shared" si="3"/>
        <v>0</v>
      </c>
      <c r="Q17" s="21"/>
      <c r="R17" s="21"/>
      <c r="S17" s="21"/>
      <c r="T17" s="21"/>
    </row>
    <row r="18" ht="18.75" customHeight="1">
      <c r="A18" s="22">
        <f t="shared" si="1"/>
        <v>17</v>
      </c>
      <c r="B18" s="23" t="s">
        <v>32</v>
      </c>
      <c r="C18" s="24">
        <f>VLOOKUP(B18, 'Consolidated Sheet'!B:C, 2, FALSE)</f>
        <v>17</v>
      </c>
      <c r="D18" s="25" t="s">
        <v>13</v>
      </c>
      <c r="E18" s="23" t="s">
        <v>93</v>
      </c>
      <c r="F18" s="24" t="str">
        <f>VLOOKUP(B18, 'Consolidated Sheet'!B:E, 4, FALSE)</f>
        <v>AB+</v>
      </c>
      <c r="G18" s="26" t="b">
        <v>0</v>
      </c>
      <c r="H18" s="26" t="b">
        <v>0</v>
      </c>
      <c r="I18" s="27" t="b">
        <v>0</v>
      </c>
      <c r="J18" s="26" t="b">
        <v>1</v>
      </c>
      <c r="K18" s="26" t="b">
        <v>0</v>
      </c>
      <c r="L18" s="27" t="b">
        <v>0</v>
      </c>
      <c r="M18" s="28">
        <f t="shared" si="2"/>
        <v>100</v>
      </c>
      <c r="N18" s="25" t="s">
        <v>14</v>
      </c>
      <c r="O18" s="29">
        <v>100.0</v>
      </c>
      <c r="P18" s="28">
        <f t="shared" si="3"/>
        <v>0</v>
      </c>
      <c r="Q18" s="21"/>
      <c r="R18" s="21"/>
      <c r="S18" s="21"/>
      <c r="T18" s="21"/>
    </row>
    <row r="19" ht="18.75" customHeight="1">
      <c r="A19" s="22">
        <f t="shared" si="1"/>
        <v>18</v>
      </c>
      <c r="B19" s="23" t="s">
        <v>38</v>
      </c>
      <c r="C19" s="24">
        <f>VLOOKUP(B19, 'Consolidated Sheet'!B:C, 2, FALSE)</f>
        <v>18</v>
      </c>
      <c r="D19" s="23" t="s">
        <v>13</v>
      </c>
      <c r="E19" s="23" t="s">
        <v>93</v>
      </c>
      <c r="F19" s="24" t="str">
        <f>VLOOKUP(B19, 'Consolidated Sheet'!B:E, 4, FALSE)</f>
        <v>O+</v>
      </c>
      <c r="G19" s="26" t="b">
        <v>1</v>
      </c>
      <c r="H19" s="26" t="b">
        <v>1</v>
      </c>
      <c r="I19" s="27" t="b">
        <v>0</v>
      </c>
      <c r="J19" s="26" t="b">
        <v>1</v>
      </c>
      <c r="K19" s="26" t="b">
        <v>1</v>
      </c>
      <c r="L19" s="27" t="b">
        <v>0</v>
      </c>
      <c r="M19" s="28">
        <f t="shared" si="2"/>
        <v>400</v>
      </c>
      <c r="N19" s="25" t="s">
        <v>14</v>
      </c>
      <c r="O19" s="29">
        <v>400.0</v>
      </c>
      <c r="P19" s="28">
        <f t="shared" si="3"/>
        <v>0</v>
      </c>
      <c r="Q19" s="21"/>
      <c r="R19" s="21"/>
      <c r="S19" s="21"/>
      <c r="T19" s="21"/>
    </row>
    <row r="20" ht="18.75" customHeight="1">
      <c r="A20" s="22">
        <f t="shared" si="1"/>
        <v>19</v>
      </c>
      <c r="B20" s="23" t="s">
        <v>50</v>
      </c>
      <c r="C20" s="24">
        <f>VLOOKUP(B20, 'Consolidated Sheet'!B:C, 2, FALSE)</f>
        <v>18</v>
      </c>
      <c r="D20" s="23" t="s">
        <v>13</v>
      </c>
      <c r="E20" s="23" t="s">
        <v>93</v>
      </c>
      <c r="F20" s="24" t="str">
        <f>VLOOKUP(B20, 'Consolidated Sheet'!B:E, 4, FALSE)</f>
        <v>AB+</v>
      </c>
      <c r="G20" s="26" t="b">
        <v>1</v>
      </c>
      <c r="H20" s="27" t="b">
        <v>0</v>
      </c>
      <c r="I20" s="27" t="b">
        <v>0</v>
      </c>
      <c r="J20" s="26" t="b">
        <v>1</v>
      </c>
      <c r="K20" s="27" t="b">
        <v>0</v>
      </c>
      <c r="L20" s="27" t="b">
        <v>0</v>
      </c>
      <c r="M20" s="28">
        <f t="shared" si="2"/>
        <v>200</v>
      </c>
      <c r="N20" s="25" t="s">
        <v>14</v>
      </c>
      <c r="O20" s="29">
        <v>200.0</v>
      </c>
      <c r="P20" s="28">
        <f t="shared" si="3"/>
        <v>0</v>
      </c>
      <c r="Q20" s="21"/>
      <c r="R20" s="21"/>
      <c r="S20" s="21"/>
      <c r="T20" s="21"/>
    </row>
    <row r="21" ht="18.75" customHeight="1">
      <c r="A21" s="22">
        <f t="shared" si="1"/>
        <v>20</v>
      </c>
      <c r="B21" s="23" t="s">
        <v>55</v>
      </c>
      <c r="C21" s="24">
        <f>VLOOKUP(B21, 'Consolidated Sheet'!B:C, 2, FALSE)</f>
        <v>19</v>
      </c>
      <c r="D21" s="25" t="s">
        <v>13</v>
      </c>
      <c r="E21" s="25" t="s">
        <v>94</v>
      </c>
      <c r="F21" s="24" t="str">
        <f>VLOOKUP(B21, 'Consolidated Sheet'!B:E, 4, FALSE)</f>
        <v/>
      </c>
      <c r="G21" s="26" t="b">
        <v>1</v>
      </c>
      <c r="H21" s="26" t="b">
        <v>1</v>
      </c>
      <c r="I21" s="27" t="b">
        <v>0</v>
      </c>
      <c r="J21" s="26" t="b">
        <v>0</v>
      </c>
      <c r="K21" s="27" t="b">
        <v>0</v>
      </c>
      <c r="L21" s="27" t="b">
        <v>0</v>
      </c>
      <c r="M21" s="28">
        <f t="shared" si="2"/>
        <v>200</v>
      </c>
      <c r="N21" s="25" t="s">
        <v>14</v>
      </c>
      <c r="O21" s="29">
        <v>200.0</v>
      </c>
      <c r="P21" s="28">
        <f t="shared" si="3"/>
        <v>0</v>
      </c>
      <c r="Q21" s="21"/>
      <c r="R21" s="21"/>
      <c r="S21" s="21"/>
      <c r="T21" s="21"/>
    </row>
    <row r="22" ht="18.75" customHeight="1">
      <c r="A22" s="22">
        <f t="shared" si="1"/>
        <v>21</v>
      </c>
      <c r="B22" s="23" t="s">
        <v>74</v>
      </c>
      <c r="C22" s="24">
        <f>VLOOKUP(B22, 'Consolidated Sheet'!B:C, 2, FALSE)</f>
        <v>21</v>
      </c>
      <c r="D22" s="25" t="s">
        <v>13</v>
      </c>
      <c r="E22" s="23" t="s">
        <v>93</v>
      </c>
      <c r="F22" s="24" t="str">
        <f>VLOOKUP(B22, 'Consolidated Sheet'!B:E, 4, FALSE)</f>
        <v>B+</v>
      </c>
      <c r="G22" s="26" t="b">
        <v>1</v>
      </c>
      <c r="H22" s="26" t="b">
        <v>1</v>
      </c>
      <c r="I22" s="27" t="b">
        <v>0</v>
      </c>
      <c r="J22" s="26" t="b">
        <v>1</v>
      </c>
      <c r="K22" s="26" t="b">
        <v>1</v>
      </c>
      <c r="L22" s="27" t="b">
        <v>0</v>
      </c>
      <c r="M22" s="28">
        <f t="shared" si="2"/>
        <v>400</v>
      </c>
      <c r="N22" s="25" t="s">
        <v>14</v>
      </c>
      <c r="O22" s="29">
        <v>400.0</v>
      </c>
      <c r="P22" s="28">
        <f t="shared" si="3"/>
        <v>0</v>
      </c>
      <c r="Q22" s="21"/>
      <c r="R22" s="21"/>
      <c r="S22" s="21"/>
      <c r="T22" s="21"/>
    </row>
    <row r="23" ht="18.75" customHeight="1">
      <c r="A23" s="22">
        <f t="shared" si="1"/>
        <v>22</v>
      </c>
      <c r="B23" s="23" t="s">
        <v>31</v>
      </c>
      <c r="C23" s="24">
        <f>VLOOKUP(B23, 'Consolidated Sheet'!B:C, 2, FALSE)</f>
        <v>22</v>
      </c>
      <c r="D23" s="23" t="s">
        <v>20</v>
      </c>
      <c r="E23" s="23" t="s">
        <v>96</v>
      </c>
      <c r="F23" s="24" t="str">
        <f>VLOOKUP(B23, 'Consolidated Sheet'!B:E, 4, FALSE)</f>
        <v>B+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8">
        <f t="shared" si="2"/>
        <v>100</v>
      </c>
      <c r="N23" s="25" t="s">
        <v>14</v>
      </c>
      <c r="O23" s="29">
        <v>100.0</v>
      </c>
      <c r="P23" s="28">
        <f t="shared" si="3"/>
        <v>0</v>
      </c>
      <c r="Q23" s="21"/>
      <c r="R23" s="21"/>
      <c r="S23" s="21"/>
      <c r="T23" s="21"/>
    </row>
    <row r="24" ht="18.75" customHeight="1">
      <c r="A24" s="22">
        <f t="shared" si="1"/>
        <v>23</v>
      </c>
      <c r="B24" s="23" t="s">
        <v>77</v>
      </c>
      <c r="C24" s="24">
        <f>VLOOKUP(B24, 'Consolidated Sheet'!B:C, 2, FALSE)</f>
        <v>24</v>
      </c>
      <c r="D24" s="23" t="s">
        <v>13</v>
      </c>
      <c r="E24" s="23" t="s">
        <v>93</v>
      </c>
      <c r="F24" s="24" t="str">
        <f>VLOOKUP(B24, 'Consolidated Sheet'!B:E, 4, FALSE)</f>
        <v>AB-</v>
      </c>
      <c r="G24" s="27" t="b">
        <v>0</v>
      </c>
      <c r="H24" s="27" t="b">
        <v>0</v>
      </c>
      <c r="I24" s="27" t="b">
        <v>0</v>
      </c>
      <c r="J24" s="27" t="b">
        <v>0</v>
      </c>
      <c r="K24" s="26" t="b">
        <v>1</v>
      </c>
      <c r="L24" s="27" t="b">
        <v>0</v>
      </c>
      <c r="M24" s="28">
        <f t="shared" si="2"/>
        <v>100</v>
      </c>
      <c r="N24" s="25" t="s">
        <v>14</v>
      </c>
      <c r="O24" s="29">
        <v>100.0</v>
      </c>
      <c r="P24" s="28">
        <f t="shared" si="3"/>
        <v>0</v>
      </c>
      <c r="Q24" s="21"/>
      <c r="R24" s="21"/>
      <c r="S24" s="21"/>
      <c r="T24" s="21"/>
    </row>
    <row r="25" ht="18.75" customHeight="1">
      <c r="A25" s="22">
        <f t="shared" si="1"/>
        <v>24</v>
      </c>
      <c r="B25" s="23" t="s">
        <v>42</v>
      </c>
      <c r="C25" s="24">
        <f>VLOOKUP(B25, 'Consolidated Sheet'!B:C, 2, FALSE)</f>
        <v>25</v>
      </c>
      <c r="D25" s="23" t="s">
        <v>13</v>
      </c>
      <c r="E25" s="23" t="s">
        <v>93</v>
      </c>
      <c r="F25" s="24" t="str">
        <f>VLOOKUP(B25, 'Consolidated Sheet'!B:E, 4, FALSE)</f>
        <v/>
      </c>
      <c r="G25" s="26" t="b">
        <v>1</v>
      </c>
      <c r="H25" s="26" t="b">
        <v>0</v>
      </c>
      <c r="I25" s="26" t="b">
        <v>0</v>
      </c>
      <c r="J25" s="26" t="b">
        <v>1</v>
      </c>
      <c r="K25" s="26" t="b">
        <v>1</v>
      </c>
      <c r="L25" s="26" t="b">
        <v>0</v>
      </c>
      <c r="M25" s="28">
        <f t="shared" si="2"/>
        <v>300</v>
      </c>
      <c r="N25" s="25" t="s">
        <v>14</v>
      </c>
      <c r="O25" s="29">
        <v>300.0</v>
      </c>
      <c r="P25" s="28">
        <f t="shared" si="3"/>
        <v>0</v>
      </c>
      <c r="Q25" s="21"/>
      <c r="R25" s="21"/>
      <c r="S25" s="21"/>
      <c r="T25" s="21"/>
    </row>
    <row r="26" ht="18.75" customHeight="1">
      <c r="A26" s="22">
        <f t="shared" si="1"/>
        <v>25</v>
      </c>
      <c r="B26" s="23" t="s">
        <v>15</v>
      </c>
      <c r="C26" s="24">
        <f>VLOOKUP(B26, 'Consolidated Sheet'!B:C, 2, FALSE)</f>
        <v>25</v>
      </c>
      <c r="D26" s="25" t="s">
        <v>13</v>
      </c>
      <c r="E26" s="23" t="s">
        <v>93</v>
      </c>
      <c r="F26" s="24" t="str">
        <f>VLOOKUP(B26, 'Consolidated Sheet'!B:E, 4, FALSE)</f>
        <v/>
      </c>
      <c r="G26" s="27" t="b">
        <v>0</v>
      </c>
      <c r="H26" s="26" t="b">
        <v>1</v>
      </c>
      <c r="I26" s="27" t="b">
        <v>0</v>
      </c>
      <c r="J26" s="26" t="b">
        <v>1</v>
      </c>
      <c r="K26" s="26" t="b">
        <v>0</v>
      </c>
      <c r="L26" s="27" t="b">
        <v>0</v>
      </c>
      <c r="M26" s="28">
        <f t="shared" si="2"/>
        <v>200</v>
      </c>
      <c r="N26" s="25" t="s">
        <v>14</v>
      </c>
      <c r="O26" s="29">
        <v>200.0</v>
      </c>
      <c r="P26" s="28">
        <f t="shared" si="3"/>
        <v>0</v>
      </c>
      <c r="Q26" s="21"/>
      <c r="R26" s="21"/>
      <c r="S26" s="21"/>
      <c r="T26" s="21"/>
    </row>
    <row r="27" ht="18.75" customHeight="1">
      <c r="A27" s="22">
        <f t="shared" si="1"/>
        <v>26</v>
      </c>
      <c r="B27" s="23" t="s">
        <v>44</v>
      </c>
      <c r="C27" s="24">
        <f>VLOOKUP(B27, 'Consolidated Sheet'!B:C, 2, FALSE)</f>
        <v>26</v>
      </c>
      <c r="D27" s="23" t="s">
        <v>13</v>
      </c>
      <c r="E27" s="23" t="s">
        <v>93</v>
      </c>
      <c r="F27" s="24" t="str">
        <f>VLOOKUP(B27, 'Consolidated Sheet'!B:E, 4, FALSE)</f>
        <v/>
      </c>
      <c r="G27" s="26" t="b">
        <v>1</v>
      </c>
      <c r="H27" s="26" t="b">
        <v>1</v>
      </c>
      <c r="I27" s="26" t="b">
        <v>0</v>
      </c>
      <c r="J27" s="27" t="b">
        <v>0</v>
      </c>
      <c r="K27" s="26" t="b">
        <v>1</v>
      </c>
      <c r="L27" s="26" t="b">
        <v>0</v>
      </c>
      <c r="M27" s="28">
        <f t="shared" si="2"/>
        <v>300</v>
      </c>
      <c r="N27" s="25" t="s">
        <v>14</v>
      </c>
      <c r="O27" s="29">
        <v>300.0</v>
      </c>
      <c r="P27" s="28">
        <f t="shared" si="3"/>
        <v>0</v>
      </c>
      <c r="Q27" s="21"/>
      <c r="R27" s="21"/>
      <c r="S27" s="21"/>
      <c r="T27" s="21"/>
    </row>
    <row r="28" ht="18.75" customHeight="1">
      <c r="A28" s="22">
        <f t="shared" si="1"/>
        <v>27</v>
      </c>
      <c r="B28" s="23" t="s">
        <v>34</v>
      </c>
      <c r="C28" s="24">
        <f>VLOOKUP(B28, 'Consolidated Sheet'!B:C, 2, FALSE)</f>
        <v>27</v>
      </c>
      <c r="D28" s="23" t="s">
        <v>20</v>
      </c>
      <c r="E28" s="23" t="s">
        <v>96</v>
      </c>
      <c r="F28" s="24" t="str">
        <f>VLOOKUP(B28, 'Consolidated Sheet'!B:E, 4, FALSE)</f>
        <v/>
      </c>
      <c r="G28" s="26" t="b">
        <v>1</v>
      </c>
      <c r="H28" s="26" t="b">
        <v>0</v>
      </c>
      <c r="I28" s="26" t="b">
        <v>0</v>
      </c>
      <c r="J28" s="26" t="b">
        <v>1</v>
      </c>
      <c r="K28" s="27" t="b">
        <v>0</v>
      </c>
      <c r="L28" s="26" t="b">
        <v>0</v>
      </c>
      <c r="M28" s="28">
        <f t="shared" si="2"/>
        <v>200</v>
      </c>
      <c r="N28" s="25" t="s">
        <v>14</v>
      </c>
      <c r="O28" s="29">
        <v>200.0</v>
      </c>
      <c r="P28" s="28">
        <f t="shared" si="3"/>
        <v>0</v>
      </c>
      <c r="Q28" s="21"/>
      <c r="R28" s="21"/>
      <c r="S28" s="21"/>
      <c r="T28" s="21"/>
    </row>
    <row r="29" ht="18.75" customHeight="1">
      <c r="A29" s="22">
        <f t="shared" si="1"/>
        <v>28</v>
      </c>
      <c r="B29" s="23" t="s">
        <v>40</v>
      </c>
      <c r="C29" s="24">
        <f>VLOOKUP(B29, 'Consolidated Sheet'!B:C, 2, FALSE)</f>
        <v>27</v>
      </c>
      <c r="D29" s="23" t="s">
        <v>13</v>
      </c>
      <c r="E29" s="23" t="s">
        <v>96</v>
      </c>
      <c r="F29" s="24" t="str">
        <f>VLOOKUP(B29, 'Consolidated Sheet'!B:E, 4, FALSE)</f>
        <v/>
      </c>
      <c r="G29" s="26" t="b">
        <v>1</v>
      </c>
      <c r="H29" s="26" t="b">
        <v>1</v>
      </c>
      <c r="I29" s="26" t="b">
        <v>0</v>
      </c>
      <c r="J29" s="26" t="b">
        <v>1</v>
      </c>
      <c r="K29" s="26" t="b">
        <v>1</v>
      </c>
      <c r="L29" s="26" t="b">
        <v>0</v>
      </c>
      <c r="M29" s="28">
        <f t="shared" si="2"/>
        <v>400</v>
      </c>
      <c r="N29" s="25" t="s">
        <v>14</v>
      </c>
      <c r="O29" s="29">
        <v>400.0</v>
      </c>
      <c r="P29" s="28">
        <f t="shared" si="3"/>
        <v>0</v>
      </c>
      <c r="Q29" s="21"/>
      <c r="R29" s="21"/>
      <c r="S29" s="21"/>
      <c r="T29" s="21"/>
    </row>
    <row r="30" ht="18.75" customHeight="1">
      <c r="A30" s="22">
        <f t="shared" si="1"/>
        <v>29</v>
      </c>
      <c r="B30" s="23" t="s">
        <v>36</v>
      </c>
      <c r="C30" s="24">
        <f>VLOOKUP(B30, 'Consolidated Sheet'!B:C, 2, FALSE)</f>
        <v>31</v>
      </c>
      <c r="D30" s="25" t="s">
        <v>13</v>
      </c>
      <c r="E30" s="23" t="s">
        <v>93</v>
      </c>
      <c r="F30" s="24" t="str">
        <f>VLOOKUP(B30, 'Consolidated Sheet'!B:E, 4, FALSE)</f>
        <v/>
      </c>
      <c r="G30" s="26" t="b">
        <v>1</v>
      </c>
      <c r="H30" s="26" t="b">
        <v>1</v>
      </c>
      <c r="I30" s="27" t="b">
        <v>0</v>
      </c>
      <c r="J30" s="27" t="b">
        <v>0</v>
      </c>
      <c r="K30" s="27" t="b">
        <v>0</v>
      </c>
      <c r="L30" s="27" t="b">
        <v>0</v>
      </c>
      <c r="M30" s="28">
        <f t="shared" si="2"/>
        <v>200</v>
      </c>
      <c r="N30" s="25" t="s">
        <v>14</v>
      </c>
      <c r="O30" s="29">
        <v>200.0</v>
      </c>
      <c r="P30" s="28">
        <f t="shared" si="3"/>
        <v>0</v>
      </c>
      <c r="Q30" s="21"/>
      <c r="R30" s="21"/>
      <c r="S30" s="21"/>
      <c r="T30" s="21"/>
    </row>
    <row r="31" ht="18.75" customHeight="1">
      <c r="A31" s="22">
        <f t="shared" si="1"/>
        <v>30</v>
      </c>
      <c r="B31" s="23" t="s">
        <v>59</v>
      </c>
      <c r="C31" s="24">
        <f>VLOOKUP(B31, 'Consolidated Sheet'!B:C, 2, FALSE)</f>
        <v>34</v>
      </c>
      <c r="D31" s="23" t="s">
        <v>13</v>
      </c>
      <c r="E31" s="23" t="s">
        <v>93</v>
      </c>
      <c r="F31" s="24" t="str">
        <f>VLOOKUP(B31, 'Consolidated Sheet'!B:E, 4, FALSE)</f>
        <v>A+</v>
      </c>
      <c r="G31" s="26" t="b">
        <v>0</v>
      </c>
      <c r="H31" s="27" t="b">
        <v>0</v>
      </c>
      <c r="I31" s="27" t="b">
        <v>0</v>
      </c>
      <c r="J31" s="26" t="b">
        <v>1</v>
      </c>
      <c r="K31" s="26" t="b">
        <v>0</v>
      </c>
      <c r="L31" s="27" t="b">
        <v>0</v>
      </c>
      <c r="M31" s="28">
        <f t="shared" si="2"/>
        <v>100</v>
      </c>
      <c r="N31" s="25" t="s">
        <v>14</v>
      </c>
      <c r="O31" s="29">
        <v>100.0</v>
      </c>
      <c r="P31" s="28">
        <f t="shared" si="3"/>
        <v>0</v>
      </c>
      <c r="Q31" s="21"/>
      <c r="R31" s="21"/>
      <c r="S31" s="21"/>
      <c r="T31" s="21"/>
    </row>
    <row r="32" ht="18.75" customHeight="1">
      <c r="A32" s="22">
        <f t="shared" si="1"/>
        <v>31</v>
      </c>
      <c r="B32" s="23" t="s">
        <v>26</v>
      </c>
      <c r="C32" s="24">
        <f>VLOOKUP(B32, 'Consolidated Sheet'!B:C, 2, FALSE)</f>
        <v>37</v>
      </c>
      <c r="D32" s="25" t="s">
        <v>13</v>
      </c>
      <c r="E32" s="23" t="s">
        <v>93</v>
      </c>
      <c r="F32" s="24" t="str">
        <f>VLOOKUP(B32, 'Consolidated Sheet'!B:E, 4, FALSE)</f>
        <v/>
      </c>
      <c r="G32" s="26" t="b">
        <v>1</v>
      </c>
      <c r="H32" s="26" t="b">
        <v>1</v>
      </c>
      <c r="I32" s="27" t="b">
        <v>0</v>
      </c>
      <c r="J32" s="26" t="b">
        <v>1</v>
      </c>
      <c r="K32" s="27" t="b">
        <v>0</v>
      </c>
      <c r="L32" s="27" t="b">
        <v>0</v>
      </c>
      <c r="M32" s="28">
        <f t="shared" si="2"/>
        <v>300</v>
      </c>
      <c r="N32" s="25" t="s">
        <v>14</v>
      </c>
      <c r="O32" s="29">
        <v>300.0</v>
      </c>
      <c r="P32" s="28">
        <f t="shared" si="3"/>
        <v>0</v>
      </c>
      <c r="Q32" s="21"/>
      <c r="R32" s="21"/>
      <c r="S32" s="21"/>
      <c r="T32" s="21"/>
    </row>
    <row r="33" ht="18.75" customHeight="1">
      <c r="A33" s="22">
        <f t="shared" si="1"/>
        <v>32</v>
      </c>
      <c r="B33" s="23" t="s">
        <v>48</v>
      </c>
      <c r="C33" s="24">
        <f>VLOOKUP(B33, 'Consolidated Sheet'!B:C, 2, FALSE)</f>
        <v>39</v>
      </c>
      <c r="D33" s="25" t="s">
        <v>13</v>
      </c>
      <c r="E33" s="23" t="s">
        <v>93</v>
      </c>
      <c r="F33" s="24" t="str">
        <f>VLOOKUP(B33, 'Consolidated Sheet'!B:E, 4, FALSE)</f>
        <v/>
      </c>
      <c r="G33" s="26" t="b">
        <v>1</v>
      </c>
      <c r="H33" s="26" t="b">
        <v>0</v>
      </c>
      <c r="I33" s="27" t="b">
        <v>0</v>
      </c>
      <c r="J33" s="26" t="b">
        <v>1</v>
      </c>
      <c r="K33" s="26" t="b">
        <v>1</v>
      </c>
      <c r="L33" s="27" t="b">
        <v>0</v>
      </c>
      <c r="M33" s="28">
        <f t="shared" si="2"/>
        <v>300</v>
      </c>
      <c r="N33" s="25" t="s">
        <v>14</v>
      </c>
      <c r="O33" s="29">
        <v>300.0</v>
      </c>
      <c r="P33" s="28">
        <f t="shared" si="3"/>
        <v>0</v>
      </c>
      <c r="Q33" s="21"/>
      <c r="R33" s="21"/>
      <c r="S33" s="21"/>
      <c r="T33" s="21"/>
    </row>
    <row r="34" ht="18.75" customHeight="1">
      <c r="A34" s="22">
        <f t="shared" si="1"/>
        <v>33</v>
      </c>
      <c r="B34" s="23" t="s">
        <v>63</v>
      </c>
      <c r="C34" s="24">
        <f>VLOOKUP(B34, 'Consolidated Sheet'!B:C, 2, FALSE)</f>
        <v>40</v>
      </c>
      <c r="D34" s="25" t="s">
        <v>13</v>
      </c>
      <c r="E34" s="23" t="s">
        <v>93</v>
      </c>
      <c r="F34" s="24" t="str">
        <f>VLOOKUP(B34, 'Consolidated Sheet'!B:E, 4, FALSE)</f>
        <v>B+</v>
      </c>
      <c r="G34" s="26" t="b">
        <v>1</v>
      </c>
      <c r="H34" s="26" t="b">
        <v>1</v>
      </c>
      <c r="I34" s="27" t="b">
        <v>0</v>
      </c>
      <c r="J34" s="27" t="b">
        <v>0</v>
      </c>
      <c r="K34" s="27" t="b">
        <v>0</v>
      </c>
      <c r="L34" s="27" t="b">
        <v>0</v>
      </c>
      <c r="M34" s="28">
        <f t="shared" si="2"/>
        <v>200</v>
      </c>
      <c r="N34" s="25" t="s">
        <v>14</v>
      </c>
      <c r="O34" s="29">
        <v>200.0</v>
      </c>
      <c r="P34" s="28">
        <f t="shared" si="3"/>
        <v>0</v>
      </c>
      <c r="Q34" s="21"/>
      <c r="R34" s="21"/>
      <c r="S34" s="21"/>
      <c r="T34" s="21"/>
    </row>
    <row r="35" ht="18.75" customHeight="1">
      <c r="A35" s="22">
        <f t="shared" si="1"/>
        <v>34</v>
      </c>
      <c r="B35" s="23" t="s">
        <v>79</v>
      </c>
      <c r="C35" s="24">
        <f>VLOOKUP(B35, 'Consolidated Sheet'!B:C, 2, FALSE)</f>
        <v>40</v>
      </c>
      <c r="D35" s="25" t="s">
        <v>20</v>
      </c>
      <c r="E35" s="23" t="s">
        <v>93</v>
      </c>
      <c r="F35" s="24" t="str">
        <f>VLOOKUP(B35, 'Consolidated Sheet'!B:E, 4, FALSE)</f>
        <v>A+</v>
      </c>
      <c r="G35" s="26" t="b">
        <v>0</v>
      </c>
      <c r="H35" s="27" t="b">
        <v>0</v>
      </c>
      <c r="I35" s="27" t="b">
        <v>0</v>
      </c>
      <c r="J35" s="26" t="b">
        <v>1</v>
      </c>
      <c r="K35" s="26" t="b">
        <v>0</v>
      </c>
      <c r="L35" s="27" t="b">
        <v>0</v>
      </c>
      <c r="M35" s="28">
        <f t="shared" si="2"/>
        <v>100</v>
      </c>
      <c r="N35" s="25" t="s">
        <v>14</v>
      </c>
      <c r="O35" s="30">
        <v>100.0</v>
      </c>
      <c r="P35" s="28">
        <f t="shared" si="3"/>
        <v>0</v>
      </c>
      <c r="Q35" s="21"/>
      <c r="R35" s="21"/>
      <c r="S35" s="21"/>
      <c r="T35" s="21"/>
    </row>
    <row r="36" ht="18.75" customHeight="1">
      <c r="A36" s="22">
        <f t="shared" si="1"/>
        <v>35</v>
      </c>
      <c r="B36" s="23" t="s">
        <v>17</v>
      </c>
      <c r="C36" s="24">
        <f>VLOOKUP(B36, 'Consolidated Sheet'!B:C, 2, FALSE)</f>
        <v>41</v>
      </c>
      <c r="D36" s="25" t="s">
        <v>13</v>
      </c>
      <c r="E36" s="23" t="s">
        <v>93</v>
      </c>
      <c r="F36" s="24" t="str">
        <f>VLOOKUP(B36, 'Consolidated Sheet'!B:E, 4, FALSE)</f>
        <v>B+</v>
      </c>
      <c r="G36" s="26" t="b">
        <v>1</v>
      </c>
      <c r="H36" s="26" t="b">
        <v>1</v>
      </c>
      <c r="I36" s="27" t="b">
        <v>0</v>
      </c>
      <c r="J36" s="27" t="b">
        <v>0</v>
      </c>
      <c r="K36" s="27" t="b">
        <v>0</v>
      </c>
      <c r="L36" s="27" t="b">
        <v>0</v>
      </c>
      <c r="M36" s="28">
        <f t="shared" si="2"/>
        <v>200</v>
      </c>
      <c r="N36" s="25" t="s">
        <v>14</v>
      </c>
      <c r="O36" s="29">
        <v>200.0</v>
      </c>
      <c r="P36" s="28">
        <f t="shared" si="3"/>
        <v>0</v>
      </c>
      <c r="Q36" s="21"/>
      <c r="R36" s="21"/>
      <c r="S36" s="21"/>
      <c r="T36" s="21"/>
    </row>
    <row r="37" ht="18.75" customHeight="1">
      <c r="A37" s="22">
        <f t="shared" si="1"/>
        <v>36</v>
      </c>
      <c r="B37" s="23" t="s">
        <v>56</v>
      </c>
      <c r="C37" s="24">
        <f>VLOOKUP(B37, 'Consolidated Sheet'!B:C, 2, FALSE)</f>
        <v>42</v>
      </c>
      <c r="D37" s="25" t="s">
        <v>13</v>
      </c>
      <c r="E37" s="25" t="s">
        <v>94</v>
      </c>
      <c r="F37" s="24" t="str">
        <f>VLOOKUP(B37, 'Consolidated Sheet'!B:E, 4, FALSE)</f>
        <v/>
      </c>
      <c r="G37" s="26" t="b">
        <v>1</v>
      </c>
      <c r="H37" s="26" t="b">
        <v>1</v>
      </c>
      <c r="I37" s="27" t="b">
        <v>0</v>
      </c>
      <c r="J37" s="27" t="b">
        <v>0</v>
      </c>
      <c r="K37" s="27" t="b">
        <v>0</v>
      </c>
      <c r="L37" s="27" t="b">
        <v>0</v>
      </c>
      <c r="M37" s="28">
        <f t="shared" si="2"/>
        <v>200</v>
      </c>
      <c r="N37" s="25" t="s">
        <v>14</v>
      </c>
      <c r="O37" s="29">
        <v>200.0</v>
      </c>
      <c r="P37" s="28">
        <f t="shared" si="3"/>
        <v>0</v>
      </c>
      <c r="Q37" s="21"/>
      <c r="R37" s="21"/>
      <c r="S37" s="21"/>
      <c r="T37" s="21"/>
    </row>
    <row r="38" ht="18.75" customHeight="1">
      <c r="A38" s="22">
        <f t="shared" si="1"/>
        <v>37</v>
      </c>
      <c r="B38" s="23" t="s">
        <v>64</v>
      </c>
      <c r="C38" s="24">
        <f>VLOOKUP(B38, 'Consolidated Sheet'!B:C, 2, FALSE)</f>
        <v>40</v>
      </c>
      <c r="D38" s="25" t="s">
        <v>13</v>
      </c>
      <c r="E38" s="23" t="s">
        <v>93</v>
      </c>
      <c r="F38" s="24" t="str">
        <f>VLOOKUP(B38, 'Consolidated Sheet'!B:E, 4, FALSE)</f>
        <v/>
      </c>
      <c r="G38" s="26" t="b">
        <v>1</v>
      </c>
      <c r="H38" s="27" t="b">
        <v>0</v>
      </c>
      <c r="I38" s="27" t="b">
        <v>0</v>
      </c>
      <c r="J38" s="26" t="b">
        <v>1</v>
      </c>
      <c r="K38" s="26" t="b">
        <v>1</v>
      </c>
      <c r="L38" s="27" t="b">
        <v>0</v>
      </c>
      <c r="M38" s="28">
        <f t="shared" si="2"/>
        <v>300</v>
      </c>
      <c r="N38" s="25" t="s">
        <v>14</v>
      </c>
      <c r="O38" s="29">
        <v>300.0</v>
      </c>
      <c r="P38" s="28">
        <f t="shared" si="3"/>
        <v>0</v>
      </c>
      <c r="Q38" s="21"/>
      <c r="R38" s="21"/>
      <c r="S38" s="21"/>
      <c r="T38" s="21"/>
    </row>
    <row r="39">
      <c r="A39" s="22">
        <f t="shared" si="1"/>
        <v>38</v>
      </c>
      <c r="B39" s="23" t="s">
        <v>22</v>
      </c>
      <c r="C39" s="24">
        <f>VLOOKUP(B39, 'Consolidated Sheet'!B:C, 2, FALSE)</f>
        <v>45</v>
      </c>
      <c r="D39" s="25" t="s">
        <v>13</v>
      </c>
      <c r="E39" s="23" t="s">
        <v>93</v>
      </c>
      <c r="F39" s="24" t="str">
        <f>VLOOKUP(B39, 'Consolidated Sheet'!B:E, 4, FALSE)</f>
        <v>O+</v>
      </c>
      <c r="G39" s="27" t="b">
        <v>0</v>
      </c>
      <c r="H39" s="27" t="b">
        <v>0</v>
      </c>
      <c r="I39" s="27" t="b">
        <v>0</v>
      </c>
      <c r="J39" s="26" t="b">
        <v>1</v>
      </c>
      <c r="K39" s="27" t="b">
        <v>0</v>
      </c>
      <c r="L39" s="27" t="b">
        <v>0</v>
      </c>
      <c r="M39" s="28">
        <f t="shared" si="2"/>
        <v>100</v>
      </c>
      <c r="N39" s="25" t="s">
        <v>14</v>
      </c>
      <c r="O39" s="29">
        <v>100.0</v>
      </c>
      <c r="P39" s="28">
        <f t="shared" si="3"/>
        <v>0</v>
      </c>
      <c r="Q39" s="21"/>
      <c r="R39" s="21"/>
      <c r="S39" s="21"/>
      <c r="T39" s="21"/>
    </row>
    <row r="40">
      <c r="A40" s="22">
        <f t="shared" si="1"/>
        <v>39</v>
      </c>
      <c r="B40" s="23" t="s">
        <v>29</v>
      </c>
      <c r="C40" s="24">
        <f>VLOOKUP(B40, 'Consolidated Sheet'!B:C, 2, FALSE)</f>
        <v>50</v>
      </c>
      <c r="D40" s="25" t="s">
        <v>13</v>
      </c>
      <c r="E40" s="23" t="s">
        <v>93</v>
      </c>
      <c r="F40" s="24" t="str">
        <f>VLOOKUP(B40, 'Consolidated Sheet'!B:E, 4, FALSE)</f>
        <v/>
      </c>
      <c r="G40" s="26" t="b">
        <v>1</v>
      </c>
      <c r="H40" s="26" t="b">
        <v>1</v>
      </c>
      <c r="I40" s="27" t="b">
        <v>0</v>
      </c>
      <c r="J40" s="27" t="b">
        <v>0</v>
      </c>
      <c r="K40" s="27" t="b">
        <v>0</v>
      </c>
      <c r="L40" s="27" t="b">
        <v>0</v>
      </c>
      <c r="M40" s="28">
        <f t="shared" si="2"/>
        <v>200</v>
      </c>
      <c r="N40" s="25" t="s">
        <v>14</v>
      </c>
      <c r="O40" s="29">
        <v>200.0</v>
      </c>
      <c r="P40" s="28">
        <f t="shared" si="3"/>
        <v>0</v>
      </c>
      <c r="Q40" s="21"/>
      <c r="R40" s="21"/>
      <c r="S40" s="21"/>
      <c r="T40" s="21"/>
    </row>
    <row r="41">
      <c r="A41" s="22">
        <f t="shared" si="1"/>
        <v>40</v>
      </c>
      <c r="B41" s="23" t="s">
        <v>12</v>
      </c>
      <c r="C41" s="24">
        <f>VLOOKUP(B41, 'Consolidated Sheet'!B:C, 2, FALSE)</f>
        <v>8</v>
      </c>
      <c r="D41" s="25" t="s">
        <v>13</v>
      </c>
      <c r="E41" s="23" t="s">
        <v>93</v>
      </c>
      <c r="F41" s="24" t="str">
        <f>VLOOKUP(B41, 'Consolidated Sheet'!B:E, 4, FALSE)</f>
        <v/>
      </c>
      <c r="G41" s="26" t="b">
        <v>1</v>
      </c>
      <c r="H41" s="26" t="b">
        <v>1</v>
      </c>
      <c r="I41" s="27" t="b">
        <v>0</v>
      </c>
      <c r="J41" s="27" t="b">
        <v>0</v>
      </c>
      <c r="K41" s="27" t="b">
        <v>0</v>
      </c>
      <c r="L41" s="27" t="b">
        <v>0</v>
      </c>
      <c r="M41" s="28">
        <f t="shared" si="2"/>
        <v>200</v>
      </c>
      <c r="N41" s="25" t="s">
        <v>14</v>
      </c>
      <c r="O41" s="29">
        <v>200.0</v>
      </c>
      <c r="P41" s="28">
        <f t="shared" si="3"/>
        <v>0</v>
      </c>
      <c r="Q41" s="21"/>
      <c r="R41" s="21"/>
      <c r="S41" s="21"/>
      <c r="T41" s="21"/>
    </row>
    <row r="42">
      <c r="A42" s="22">
        <f t="shared" si="1"/>
        <v>41</v>
      </c>
      <c r="B42" s="23" t="s">
        <v>52</v>
      </c>
      <c r="C42" s="24"/>
      <c r="D42" s="25" t="s">
        <v>13</v>
      </c>
      <c r="E42" s="25" t="s">
        <v>94</v>
      </c>
      <c r="F42" s="24" t="str">
        <f>VLOOKUP(B42, 'Consolidated Sheet'!B:E, 4, FALSE)</f>
        <v/>
      </c>
      <c r="G42" s="26" t="b">
        <v>1</v>
      </c>
      <c r="H42" s="26" t="b">
        <v>1</v>
      </c>
      <c r="I42" s="27" t="b">
        <v>0</v>
      </c>
      <c r="J42" s="27" t="b">
        <v>0</v>
      </c>
      <c r="K42" s="26" t="b">
        <v>1</v>
      </c>
      <c r="L42" s="27" t="b">
        <v>0</v>
      </c>
      <c r="M42" s="28">
        <f t="shared" si="2"/>
        <v>300</v>
      </c>
      <c r="N42" s="25" t="s">
        <v>14</v>
      </c>
      <c r="O42" s="29">
        <v>300.0</v>
      </c>
      <c r="P42" s="28">
        <f t="shared" si="3"/>
        <v>0</v>
      </c>
      <c r="Q42" s="21"/>
      <c r="R42" s="21"/>
      <c r="S42" s="21"/>
      <c r="T42" s="21"/>
    </row>
    <row r="43">
      <c r="A43" s="22">
        <f t="shared" si="1"/>
        <v>42</v>
      </c>
      <c r="B43" s="23" t="s">
        <v>37</v>
      </c>
      <c r="C43" s="24">
        <f>VLOOKUP(B43, 'Consolidated Sheet'!B:C, 2, FALSE)</f>
        <v>15</v>
      </c>
      <c r="D43" s="25" t="s">
        <v>13</v>
      </c>
      <c r="E43" s="25" t="s">
        <v>94</v>
      </c>
      <c r="F43" s="24" t="str">
        <f>VLOOKUP(B43, 'Consolidated Sheet'!B:E, 4, FALSE)</f>
        <v/>
      </c>
      <c r="G43" s="26" t="b">
        <v>1</v>
      </c>
      <c r="H43" s="27" t="b">
        <v>0</v>
      </c>
      <c r="I43" s="27" t="b">
        <v>0</v>
      </c>
      <c r="J43" s="26" t="b">
        <v>1</v>
      </c>
      <c r="K43" s="27" t="b">
        <v>0</v>
      </c>
      <c r="L43" s="27" t="b">
        <v>0</v>
      </c>
      <c r="M43" s="28">
        <f t="shared" si="2"/>
        <v>200</v>
      </c>
      <c r="N43" s="25" t="s">
        <v>14</v>
      </c>
      <c r="O43" s="29">
        <v>200.0</v>
      </c>
      <c r="P43" s="28">
        <f t="shared" si="3"/>
        <v>0</v>
      </c>
      <c r="Q43" s="21"/>
      <c r="R43" s="21"/>
      <c r="S43" s="21"/>
      <c r="T43" s="21"/>
    </row>
    <row r="44">
      <c r="A44" s="22">
        <f t="shared" si="1"/>
        <v>43</v>
      </c>
      <c r="B44" s="23" t="s">
        <v>62</v>
      </c>
      <c r="C44" s="24" t="str">
        <f>VLOOKUP(B44, 'Consolidated Sheet'!B:C, 2, FALSE)</f>
        <v/>
      </c>
      <c r="D44" s="25" t="s">
        <v>20</v>
      </c>
      <c r="E44" s="23" t="s">
        <v>93</v>
      </c>
      <c r="F44" s="24" t="str">
        <f>VLOOKUP(B44, 'Consolidated Sheet'!B:E, 4, FALSE)</f>
        <v/>
      </c>
      <c r="G44" s="26" t="b">
        <v>0</v>
      </c>
      <c r="H44" s="27" t="b">
        <v>0</v>
      </c>
      <c r="I44" s="27" t="b">
        <v>0</v>
      </c>
      <c r="J44" s="26" t="b">
        <v>1</v>
      </c>
      <c r="K44" s="27" t="b">
        <v>0</v>
      </c>
      <c r="L44" s="27" t="b">
        <v>0</v>
      </c>
      <c r="M44" s="28">
        <f t="shared" si="2"/>
        <v>100</v>
      </c>
      <c r="N44" s="25" t="s">
        <v>14</v>
      </c>
      <c r="O44" s="29">
        <v>100.0</v>
      </c>
      <c r="P44" s="28">
        <f t="shared" si="3"/>
        <v>0</v>
      </c>
      <c r="Q44" s="21"/>
      <c r="R44" s="21"/>
      <c r="S44" s="21"/>
      <c r="T44" s="21"/>
    </row>
    <row r="45">
      <c r="A45" s="31"/>
      <c r="B45" s="32"/>
      <c r="C45" s="14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33">
        <f>SUM(O2:O44)</f>
        <v>9800</v>
      </c>
      <c r="P45" s="34">
        <f>SUM(P3:P43)</f>
        <v>0</v>
      </c>
      <c r="Q45" s="21"/>
      <c r="R45" s="21"/>
      <c r="S45" s="21"/>
      <c r="T45" s="21"/>
    </row>
    <row r="46">
      <c r="A46" s="31"/>
      <c r="B46" s="32"/>
      <c r="C46" s="1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>
      <c r="A47" s="31"/>
      <c r="B47" s="32"/>
      <c r="C47" s="1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>
      <c r="A48" s="31"/>
      <c r="B48" s="32"/>
      <c r="C48" s="1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>
      <c r="A49" s="31"/>
      <c r="B49" s="32"/>
      <c r="C49" s="14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>
      <c r="A50" s="31"/>
      <c r="B50" s="32"/>
      <c r="C50" s="1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>
      <c r="A51" s="31"/>
      <c r="B51" s="32"/>
      <c r="C51" s="1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>
      <c r="A52" s="31"/>
      <c r="B52" s="32"/>
      <c r="C52" s="14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</row>
  </sheetData>
  <autoFilter ref="$A$1:$P$45">
    <sortState ref="A1:P45">
      <sortCondition ref="C1:C4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7.5"/>
    <col customWidth="1" min="4" max="4" width="36.75"/>
  </cols>
  <sheetData>
    <row r="1">
      <c r="B1" s="4" t="s">
        <v>97</v>
      </c>
      <c r="C1" s="4" t="s">
        <v>98</v>
      </c>
      <c r="D1" s="4" t="s">
        <v>99</v>
      </c>
    </row>
    <row r="2">
      <c r="B2" s="7" t="s">
        <v>100</v>
      </c>
      <c r="C2" s="7">
        <v>5500.0</v>
      </c>
      <c r="D2" s="7" t="s">
        <v>101</v>
      </c>
    </row>
    <row r="3">
      <c r="B3" s="7" t="s">
        <v>102</v>
      </c>
      <c r="C3" s="7">
        <v>1400.0</v>
      </c>
      <c r="D3" s="7" t="s">
        <v>103</v>
      </c>
    </row>
    <row r="4">
      <c r="B4" s="7" t="s">
        <v>104</v>
      </c>
      <c r="C4" s="7">
        <v>6000.0</v>
      </c>
    </row>
    <row r="5">
      <c r="B5" s="7" t="s">
        <v>105</v>
      </c>
      <c r="C5" s="7">
        <v>1280.0</v>
      </c>
      <c r="D5" s="7" t="s">
        <v>103</v>
      </c>
    </row>
    <row r="6">
      <c r="B6" s="7" t="s">
        <v>106</v>
      </c>
      <c r="C6" s="7">
        <v>518.0</v>
      </c>
      <c r="D6" s="7" t="s">
        <v>107</v>
      </c>
    </row>
    <row r="7">
      <c r="B7" s="7" t="s">
        <v>108</v>
      </c>
      <c r="C7" s="7">
        <v>2450.0</v>
      </c>
      <c r="D7" s="7" t="s">
        <v>109</v>
      </c>
    </row>
    <row r="8">
      <c r="B8" s="7" t="s">
        <v>110</v>
      </c>
      <c r="C8" s="7">
        <v>240.0</v>
      </c>
      <c r="D8" s="7" t="s">
        <v>103</v>
      </c>
    </row>
    <row r="9">
      <c r="B9" s="7" t="s">
        <v>111</v>
      </c>
      <c r="C9" s="7">
        <v>120.0</v>
      </c>
      <c r="D9" s="7" t="s">
        <v>103</v>
      </c>
    </row>
    <row r="10">
      <c r="B10" s="7" t="s">
        <v>112</v>
      </c>
      <c r="C10" s="7">
        <v>720.0</v>
      </c>
      <c r="D10" s="7" t="s">
        <v>113</v>
      </c>
    </row>
    <row r="11">
      <c r="B11" s="7" t="s">
        <v>114</v>
      </c>
      <c r="C11" s="7">
        <v>240.0</v>
      </c>
      <c r="D11" s="7" t="s">
        <v>103</v>
      </c>
    </row>
    <row r="16">
      <c r="B16" s="7" t="s">
        <v>115</v>
      </c>
      <c r="C16" s="7">
        <v>18468.0</v>
      </c>
    </row>
    <row r="17">
      <c r="B17" s="7" t="s">
        <v>116</v>
      </c>
      <c r="C17" s="7">
        <v>9900.0</v>
      </c>
    </row>
    <row r="18">
      <c r="B18" s="7" t="s">
        <v>117</v>
      </c>
      <c r="C18" s="7">
        <v>5000.0</v>
      </c>
    </row>
    <row r="20">
      <c r="B20" s="7" t="s">
        <v>118</v>
      </c>
      <c r="C20" s="7" t="s">
        <v>119</v>
      </c>
    </row>
  </sheetData>
  <drawing r:id="rId1"/>
</worksheet>
</file>